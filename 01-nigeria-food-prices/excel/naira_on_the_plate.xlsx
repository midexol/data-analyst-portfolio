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ick a food" sheetId="2" state="visible" r:id="rId4"/>
    <sheet name="Peak to now" sheetId="3" state="visible" r:id="rId5"/>
    <sheet name="By zone" sheetId="4" state="visible" r:id="rId6"/>
    <sheet name="Prices" sheetId="5" state="visible" r:id="rId7"/>
    <sheet name="Z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<sst xmlns="http://schemas.openxmlformats.org/spreadsheetml/2006/main" count="553" uniqueCount="67">
  <si>
    <t xml:space="preserve">Naira on the Plate</t>
  </si>
  <si>
    <t xml:space="preserve">Nigerian food prices, Jan 2019 to Jul 2026, national average across 68 markets.</t>
  </si>
  <si>
    <t xml:space="preserve">Sheet</t>
  </si>
  <si>
    <t xml:space="preserve">What it shows</t>
  </si>
  <si>
    <t xml:space="preserve">Pick a food</t>
  </si>
  <si>
    <t xml:space="preserve">Choose any food in the yellow cell. The stats and chart update to show its price since 2019.</t>
  </si>
  <si>
    <t xml:space="preserve">Peak to now</t>
  </si>
  <si>
    <t xml:space="preserve">Each food's price in Jan 2023, its peak, and how far it has fallen since. Green = fell the most.</t>
  </si>
  <si>
    <t xml:space="preserve">By zone</t>
  </si>
  <si>
    <t xml:space="preserve">Cost of 1 kg each of rice, beans and garri in the five geopolitical zones, with a chart.</t>
  </si>
  <si>
    <t xml:space="preserve">Prices</t>
  </si>
  <si>
    <t xml:space="preserve">The data: monthly national average price for 15 foods (in each food's own unit).</t>
  </si>
  <si>
    <t xml:space="preserve">Zones</t>
  </si>
  <si>
    <t xml:space="preserve">The data: monthly rice, beans and garri prices for each zone, plus the plate cost formula.</t>
  </si>
  <si>
    <t xml:space="preserve">Source</t>
  </si>
  <si>
    <t xml:space="preserve">World Bank, Monthly food price estimates by product and market, Nigeria. File: NGA_RTFP_mkt_2007_2026-08-03.csv. https://microdata.worldbank.org/catalog/4503</t>
  </si>
  <si>
    <t xml:space="preserve">About the prices</t>
  </si>
  <si>
    <t xml:space="preserve">These are the World Bank's monthly estimated (close) prices. Since 2019 only about a quarter were directly collected. The rest are model estimates.</t>
  </si>
  <si>
    <t xml:space="preserve">Formulas</t>
  </si>
  <si>
    <t xml:space="preserve">Only the Prices and Zones sheets contain typed-in data. Every other number is a formula, so you can trace it with Formulas &gt; Trace Precedents.</t>
  </si>
  <si>
    <t xml:space="preserve">Full analysis</t>
  </si>
  <si>
    <t xml:space="preserve">SQL, charts and write-up: github.com/midexol/data-analyst-portfolio (01-nigeria-food-prices)</t>
  </si>
  <si>
    <t xml:space="preserve">Pick a food to see its price since 2019</t>
  </si>
  <si>
    <t xml:space="preserve">Food</t>
  </si>
  <si>
    <t xml:space="preserve">Beans (2.5 kg)</t>
  </si>
  <si>
    <t xml:space="preserve">Change this cell (dropdown)</t>
  </si>
  <si>
    <t xml:space="preserve">Jan 2023</t>
  </si>
  <si>
    <t xml:space="preserve">Peak</t>
  </si>
  <si>
    <t xml:space="preserve">Peak month</t>
  </si>
  <si>
    <t xml:space="preserve">Jul 2026</t>
  </si>
  <si>
    <t xml:space="preserve">Down from peak</t>
  </si>
  <si>
    <t xml:space="preserve">Jan 2023 to now</t>
  </si>
  <si>
    <t xml:space="preserve">Month</t>
  </si>
  <si>
    <t xml:space="preserve">Price (naira)</t>
  </si>
  <si>
    <t xml:space="preserve">Index (Jan 2023 = 100)</t>
  </si>
  <si>
    <t xml:space="preserve">Year label</t>
  </si>
  <si>
    <t xml:space="preserve">How far has each food fallen from its peak?</t>
  </si>
  <si>
    <t xml:space="preserve">National average prices in naira. Peak = highest month from Jan 2023 to Jul 2026. Every number below is a formula on the Prices sheet.</t>
  </si>
  <si>
    <t xml:space="preserve">Rise to peak</t>
  </si>
  <si>
    <t xml:space="preserve">Maize (1 kg)</t>
  </si>
  <si>
    <t xml:space="preserve">Sorghum (1 kg)</t>
  </si>
  <si>
    <t xml:space="preserve">Millet (2.6 kg)</t>
  </si>
  <si>
    <t xml:space="preserve">Garri (1 kg)</t>
  </si>
  <si>
    <t xml:space="preserve">Maize flour (2.1 kg)</t>
  </si>
  <si>
    <t xml:space="preserve">Fish (1 kg)</t>
  </si>
  <si>
    <t xml:space="preserve">Rice (1 kg)</t>
  </si>
  <si>
    <t xml:space="preserve">Groundnuts (2.2 kg)</t>
  </si>
  <si>
    <t xml:space="preserve">Onions (0.5 kg)</t>
  </si>
  <si>
    <t xml:space="preserve">Yam (2.5 kg)</t>
  </si>
  <si>
    <t xml:space="preserve">Milk (400 g)</t>
  </si>
  <si>
    <t xml:space="preserve">Eggs (30)</t>
  </si>
  <si>
    <t xml:space="preserve">Beef (1 kg)</t>
  </si>
  <si>
    <t xml:space="preserve">Goat meat (1 kg)</t>
  </si>
  <si>
    <t xml:space="preserve">Where does a basic plate cost the most?</t>
  </si>
  <si>
    <t xml:space="preserve">1 kg each of rice, beans and garri, in naira. Formulas pull from the Zones sheet.</t>
  </si>
  <si>
    <t xml:space="preserve">Zone</t>
  </si>
  <si>
    <t xml:space="preserve">Mar 2025 (peak)</t>
  </si>
  <si>
    <t xml:space="preserve">Fall since peak</t>
  </si>
  <si>
    <t xml:space="preserve">vs North West now</t>
  </si>
  <si>
    <t xml:space="preserve">South South</t>
  </si>
  <si>
    <t xml:space="preserve">South East</t>
  </si>
  <si>
    <t xml:space="preserve">North Central</t>
  </si>
  <si>
    <t xml:space="preserve">South West</t>
  </si>
  <si>
    <t xml:space="preserve">North West</t>
  </si>
  <si>
    <t xml:space="preserve">Naira, national average across markets. Source: World Bank, Monthly food price estimates by product and market, Nigeria (NGA_RTFP_mkt_2007_2026-08-03.csv). Monthly estimated (close) prices.</t>
  </si>
  <si>
    <t xml:space="preserve">Plate cost</t>
  </si>
  <si>
    <t xml:space="preserve">Plate cost = 1 kg rice + 1 kg beans + 1 kg garri, in naira. Beans are priced per 2.5 kg, so they're divided by 2.5. Same source as the Prices sheet.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</si>
</sst>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mmm\ yyyy"/>
    <numFmt numFmtId="167" formatCode="0%"/>
    <numFmt numFmtId="168" formatCode="0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C1E"/>
      <name val="Arial"/>
      <family val="0"/>
      <charset val="1"/>
    </font>
    <font>
      <sz val="10"/>
      <color rgb="FF1B1C1E"/>
      <name val="Arial"/>
      <family val="0"/>
      <charset val="1"/>
    </font>
    <font>
      <sz val="10"/>
      <color rgb="FF6B6E73"/>
      <name val="Arial"/>
      <family val="0"/>
      <charset val="1"/>
    </font>
    <font>
      <b val="true"/>
      <sz val="10"/>
      <color rgb="FF1B1C1E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b val="true"/>
      <sz val="14"/>
      <color rgb="FF1B1C1E"/>
      <name val="Arial"/>
      <family val="0"/>
      <charset val="1"/>
    </font>
    <font>
      <i val="true"/>
      <sz val="9"/>
      <color rgb="FF6B6E73"/>
      <name val="Arial"/>
      <family val="0"/>
      <charset val="1"/>
    </font>
    <font>
      <sz val="9"/>
      <color rgb="FF6B6E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2CC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1C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EEF2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B6E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price, national average (naira)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'Pick a food'!B13</c:f>
              <c:strCache>
                <c:ptCount val="1"/>
                <c:pt idx="0">
                  <c:v>Price (naira)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'Pick a food'!$D$14:$D$104</c:f>
              <c:strCache>
                <c:ptCount val="91"/>
                <c:pt idx="0">
                  <c:v>2019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2020</c:v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>2021</c:v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>2022</c:v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>2023</c:v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2024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>2025</c:v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>2026</c:v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</c:strCache>
            </c:strRef>
          </c:cat>
          <c:val>
            <c:numRef>
              <c:f>'Pick a food'!$B$14:$B$104</c:f>
              <c:numCache>
                <c:formatCode>#,##0</c:formatCode>
                <c:ptCount val="91"/>
                <c:pt idx="0">
                  <c:v>536.73</c:v>
                </c:pt>
                <c:pt idx="1">
                  <c:v>539.41</c:v>
                </c:pt>
                <c:pt idx="2">
                  <c:v>555.47</c:v>
                </c:pt>
                <c:pt idx="3">
                  <c:v>488.5</c:v>
                </c:pt>
                <c:pt idx="4">
                  <c:v>457.3</c:v>
                </c:pt>
                <c:pt idx="5">
                  <c:v>462.76</c:v>
                </c:pt>
                <c:pt idx="6">
                  <c:v>426.73</c:v>
                </c:pt>
                <c:pt idx="7">
                  <c:v>411.69</c:v>
                </c:pt>
                <c:pt idx="8">
                  <c:v>460.77</c:v>
                </c:pt>
                <c:pt idx="9">
                  <c:v>352.99</c:v>
                </c:pt>
                <c:pt idx="10">
                  <c:v>355.32</c:v>
                </c:pt>
                <c:pt idx="11">
                  <c:v>371.23</c:v>
                </c:pt>
                <c:pt idx="12">
                  <c:v>340.87</c:v>
                </c:pt>
                <c:pt idx="13">
                  <c:v>358.49</c:v>
                </c:pt>
                <c:pt idx="14">
                  <c:v>384.77</c:v>
                </c:pt>
                <c:pt idx="15">
                  <c:v>405.23</c:v>
                </c:pt>
                <c:pt idx="16">
                  <c:v>438.52</c:v>
                </c:pt>
                <c:pt idx="17">
                  <c:v>465.04</c:v>
                </c:pt>
                <c:pt idx="18">
                  <c:v>575.58</c:v>
                </c:pt>
                <c:pt idx="19">
                  <c:v>709.92</c:v>
                </c:pt>
                <c:pt idx="20">
                  <c:v>824.3</c:v>
                </c:pt>
                <c:pt idx="21">
                  <c:v>763.39</c:v>
                </c:pt>
                <c:pt idx="22">
                  <c:v>660.38</c:v>
                </c:pt>
                <c:pt idx="23">
                  <c:v>741.36</c:v>
                </c:pt>
                <c:pt idx="24">
                  <c:v>887.71</c:v>
                </c:pt>
                <c:pt idx="25">
                  <c:v>939.7</c:v>
                </c:pt>
                <c:pt idx="26">
                  <c:v>1142.76</c:v>
                </c:pt>
                <c:pt idx="27">
                  <c:v>1112.14</c:v>
                </c:pt>
                <c:pt idx="28">
                  <c:v>1178.45</c:v>
                </c:pt>
                <c:pt idx="29">
                  <c:v>1345.71</c:v>
                </c:pt>
                <c:pt idx="30">
                  <c:v>1416.95</c:v>
                </c:pt>
                <c:pt idx="31">
                  <c:v>1243.74</c:v>
                </c:pt>
                <c:pt idx="32">
                  <c:v>1317.48</c:v>
                </c:pt>
                <c:pt idx="33">
                  <c:v>1154.97</c:v>
                </c:pt>
                <c:pt idx="34">
                  <c:v>1153.99</c:v>
                </c:pt>
                <c:pt idx="35">
                  <c:v>1088.14</c:v>
                </c:pt>
                <c:pt idx="36">
                  <c:v>1126.97</c:v>
                </c:pt>
                <c:pt idx="37">
                  <c:v>1139.4</c:v>
                </c:pt>
                <c:pt idx="38">
                  <c:v>1195.01</c:v>
                </c:pt>
                <c:pt idx="39">
                  <c:v>1167.41</c:v>
                </c:pt>
                <c:pt idx="40">
                  <c:v>1160.86</c:v>
                </c:pt>
                <c:pt idx="41">
                  <c:v>1196.31</c:v>
                </c:pt>
                <c:pt idx="42">
                  <c:v>1138.39</c:v>
                </c:pt>
                <c:pt idx="43">
                  <c:v>1091.18</c:v>
                </c:pt>
                <c:pt idx="44">
                  <c:v>1099.45</c:v>
                </c:pt>
                <c:pt idx="45">
                  <c:v>1080.4</c:v>
                </c:pt>
                <c:pt idx="46">
                  <c:v>1057.84</c:v>
                </c:pt>
                <c:pt idx="47">
                  <c:v>1061.86</c:v>
                </c:pt>
                <c:pt idx="48">
                  <c:v>1077.85</c:v>
                </c:pt>
                <c:pt idx="49">
                  <c:v>961.37</c:v>
                </c:pt>
                <c:pt idx="50">
                  <c:v>1149.57</c:v>
                </c:pt>
                <c:pt idx="51">
                  <c:v>1159.07</c:v>
                </c:pt>
                <c:pt idx="52">
                  <c:v>1346.1</c:v>
                </c:pt>
                <c:pt idx="53">
                  <c:v>1426.65</c:v>
                </c:pt>
                <c:pt idx="54">
                  <c:v>1617.26</c:v>
                </c:pt>
                <c:pt idx="55">
                  <c:v>1947.06</c:v>
                </c:pt>
                <c:pt idx="56">
                  <c:v>1984.88</c:v>
                </c:pt>
                <c:pt idx="57">
                  <c:v>1968.07</c:v>
                </c:pt>
                <c:pt idx="58">
                  <c:v>1888.32</c:v>
                </c:pt>
                <c:pt idx="59">
                  <c:v>2269.08</c:v>
                </c:pt>
                <c:pt idx="60">
                  <c:v>2571.63</c:v>
                </c:pt>
                <c:pt idx="61">
                  <c:v>2674.75</c:v>
                </c:pt>
                <c:pt idx="62">
                  <c:v>2929.43</c:v>
                </c:pt>
                <c:pt idx="63">
                  <c:v>2962.37</c:v>
                </c:pt>
                <c:pt idx="64">
                  <c:v>3240.98</c:v>
                </c:pt>
                <c:pt idx="65">
                  <c:v>4008.99</c:v>
                </c:pt>
                <c:pt idx="66">
                  <c:v>4254.76</c:v>
                </c:pt>
                <c:pt idx="67">
                  <c:v>4523.11</c:v>
                </c:pt>
                <c:pt idx="68">
                  <c:v>4596.67</c:v>
                </c:pt>
                <c:pt idx="69">
                  <c:v>3860.23</c:v>
                </c:pt>
                <c:pt idx="70">
                  <c:v>3772.79</c:v>
                </c:pt>
                <c:pt idx="71">
                  <c:v>3553.2</c:v>
                </c:pt>
                <c:pt idx="72">
                  <c:v>3548.9</c:v>
                </c:pt>
                <c:pt idx="73">
                  <c:v>3495.55</c:v>
                </c:pt>
                <c:pt idx="74">
                  <c:v>3240.57</c:v>
                </c:pt>
                <c:pt idx="75">
                  <c:v>3003.84</c:v>
                </c:pt>
                <c:pt idx="76">
                  <c:v>3147.84</c:v>
                </c:pt>
                <c:pt idx="77">
                  <c:v>2987.99</c:v>
                </c:pt>
                <c:pt idx="78">
                  <c:v>2635.35</c:v>
                </c:pt>
                <c:pt idx="79">
                  <c:v>2488.58</c:v>
                </c:pt>
                <c:pt idx="80">
                  <c:v>2310.77</c:v>
                </c:pt>
                <c:pt idx="81">
                  <c:v>2322.77</c:v>
                </c:pt>
                <c:pt idx="82">
                  <c:v>2118.83</c:v>
                </c:pt>
                <c:pt idx="83">
                  <c:v>1908.9</c:v>
                </c:pt>
                <c:pt idx="84">
                  <c:v>1884.72</c:v>
                </c:pt>
                <c:pt idx="85">
                  <c:v>1819.31</c:v>
                </c:pt>
                <c:pt idx="86">
                  <c:v>2073.43</c:v>
                </c:pt>
                <c:pt idx="87">
                  <c:v>2116.96</c:v>
                </c:pt>
                <c:pt idx="88">
                  <c:v>2241.3</c:v>
                </c:pt>
                <c:pt idx="89">
                  <c:v>2290.65</c:v>
                </c:pt>
                <c:pt idx="90">
                  <c:v>2276.95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132128"/>
        <c:axId val="84000778"/>
      </c:lineChart>
      <c:catAx>
        <c:axId val="8513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00778"/>
        <c:crosses val="autoZero"/>
        <c:auto val="1"/>
        <c:lblAlgn val="ctr"/>
        <c:lblOffset val="100"/>
        <c:noMultiLvlLbl val="0"/>
      </c:catAx>
      <c:valAx>
        <c:axId val="84000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321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Plate cost by zone, Jul 2026 (naira)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'By zone'!D4</c:f>
              <c:strCache>
                <c:ptCount val="1"/>
                <c:pt idx="0">
                  <c:v>Jul 2026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zone'!$A$5:$A$9</c:f>
              <c:strCache>
                <c:ptCount val="5"/>
                <c:pt idx="0">
                  <c:v>South South</c:v>
                </c:pt>
                <c:pt idx="1">
                  <c:v>South East</c:v>
                </c:pt>
                <c:pt idx="2">
                  <c:v>North Central</c:v>
                </c:pt>
                <c:pt idx="3">
                  <c:v>South West</c:v>
                </c:pt>
                <c:pt idx="4">
                  <c:v>North West</c:v>
                </c:pt>
              </c:strCache>
            </c:strRef>
          </c:cat>
          <c:val>
            <c:numRef>
              <c:f>'By zone'!$D$5:$D$9</c:f>
              <c:numCache>
                <c:formatCode>#,##0</c:formatCode>
                <c:ptCount val="5"/>
                <c:pt idx="0">
                  <c:v>4011.102</c:v>
                </c:pt>
                <c:pt idx="1">
                  <c:v>3971.342</c:v>
                </c:pt>
                <c:pt idx="2">
                  <c:v>3742.222</c:v>
                </c:pt>
                <c:pt idx="3">
                  <c:v>3716.67</c:v>
                </c:pt>
                <c:pt idx="4">
                  <c:v>3207.876</c:v>
                </c:pt>
              </c:numCache>
            </c:numRef>
          </c:val>
        </c:ser>
        <c:gapWidth val="150"/>
        <c:overlap val="0"/>
        <c:axId val="72544451"/>
        <c:axId val="44222282"/>
      </c:barChart>
      <c:catAx>
        <c:axId val="725444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22282"/>
        <c:crosses val="autoZero"/>
        <c:auto val="1"/>
        <c:lblAlgn val="ctr"/>
        <c:lblOffset val="100"/>
        <c:noMultiLvlLbl val="0"/>
      </c:catAx>
      <c:valAx>
        <c:axId val="44222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44451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33412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5</xdr:col>
      <xdr:colOff>755280</xdr:colOff>
      <xdr:row>25</xdr:row>
      <xdr:rowOff>2880</xdr:rowOff>
    </xdr:to>
    <xdr:graphicFrame>
      <xdr:nvGraphicFramePr>
        <xdr:cNvPr id="1" name="Chart 1"/>
        <xdr:cNvGraphicFramePr/>
      </xdr:nvGraphicFramePr>
      <xdr:xfrm>
        <a:off x="0" y="2286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rices" displayName="tblPrices" ref="A1:P92" headerRowCount="1" totalsRowCount="0" totalsRowShown="0">
  <autoFilter ref="A1:P92"/>
  <tableColumns count="16">
    <tableColumn id="1" name="Month"/>
    <tableColumn id="2" name="Beans (2.5 kg)"/>
    <tableColumn id="3" name="Maize (1 kg)"/>
    <tableColumn id="4" name="Sorghum (1 kg)"/>
    <tableColumn id="5" name="Millet (2.6 kg)"/>
    <tableColumn id="6" name="Garri (1 kg)"/>
    <tableColumn id="7" name="Maize flour (2.1 kg)"/>
    <tableColumn id="8" name="Fish (1 kg)"/>
    <tableColumn id="9" name="Rice (1 kg)"/>
    <tableColumn id="10" name="Groundnuts (2.2 kg)"/>
    <tableColumn id="11" name="Onions (0.5 kg)"/>
    <tableColumn id="12" name="Yam (2.5 kg)"/>
    <tableColumn id="13" name="Milk (400 g)"/>
    <tableColumn id="14" name="Eggs (30)"/>
    <tableColumn id="15" name="Beef (1 kg)"/>
    <tableColumn id="16" name="Goat meat (1 kg)"/>
  </tableColumns>
</table>
</file>

<file path=xl/tables/table2.xml><?xml version="1.0" encoding="utf-8"?>
<table xmlns="http://schemas.openxmlformats.org/spreadsheetml/2006/main" id="2" name="tblZones" displayName="tblZones" ref="A1:F456" headerRowCount="1" totalsRowCount="0" totalsRowShown="0">
  <autoFilter ref="A1:F456"/>
  <tableColumns count="6">
    <tableColumn id="1" name="Month"/>
    <tableColumn id="2" name="Zone"/>
    <tableColumn id="3" name="Rice (1 kg)"/>
    <tableColumn id="4" name="Beans (2.5 kg)"/>
    <tableColumn id="5" name="Garri (1 kg)"/>
    <tableColumn id="6" name="Plate 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/>
      <c r="B3" s="2"/>
    </row>
    <row r="4" customFormat="false" ht="15" hidden="false" customHeight="false" outlineLevel="0" collapsed="false">
      <c r="A4" s="5" t="s">
        <v>2</v>
      </c>
      <c r="B4" s="6" t="s">
        <v>3</v>
      </c>
    </row>
    <row r="5" customFormat="false" ht="15" hidden="false" customHeight="false" outlineLevel="0" collapsed="false">
      <c r="A5" s="7" t="s">
        <v>4</v>
      </c>
      <c r="B5" s="2" t="s">
        <v>5</v>
      </c>
    </row>
    <row r="6" customFormat="false" ht="15" hidden="false" customHeight="false" outlineLevel="0" collapsed="false">
      <c r="A6" s="7" t="s">
        <v>6</v>
      </c>
      <c r="B6" s="2" t="s">
        <v>7</v>
      </c>
    </row>
    <row r="7" customFormat="false" ht="15" hidden="false" customHeight="false" outlineLevel="0" collapsed="false">
      <c r="A7" s="7" t="s">
        <v>8</v>
      </c>
      <c r="B7" s="2" t="s">
        <v>9</v>
      </c>
    </row>
    <row r="8" customFormat="false" ht="15" hidden="false" customHeight="false" outlineLevel="0" collapsed="false">
      <c r="A8" s="7" t="s">
        <v>10</v>
      </c>
      <c r="B8" s="2" t="s">
        <v>11</v>
      </c>
    </row>
    <row r="9" customFormat="false" ht="15" hidden="false" customHeight="false" outlineLevel="0" collapsed="false">
      <c r="A9" s="7" t="s">
        <v>12</v>
      </c>
      <c r="B9" s="2" t="s">
        <v>13</v>
      </c>
    </row>
    <row r="10" customFormat="false" ht="15" hidden="false" customHeight="false" outlineLevel="0" collapsed="false">
      <c r="A10" s="4"/>
      <c r="B10" s="2"/>
    </row>
    <row r="11" customFormat="false" ht="23.85" hidden="false" customHeight="false" outlineLevel="0" collapsed="false">
      <c r="A11" s="8" t="s">
        <v>14</v>
      </c>
      <c r="B11" s="2" t="s">
        <v>15</v>
      </c>
    </row>
    <row r="12" customFormat="false" ht="23.85" hidden="false" customHeight="false" outlineLevel="0" collapsed="false">
      <c r="A12" s="8" t="s">
        <v>16</v>
      </c>
      <c r="B12" s="2" t="s">
        <v>17</v>
      </c>
    </row>
    <row r="13" customFormat="false" ht="23.85" hidden="false" customHeight="false" outlineLevel="0" collapsed="false">
      <c r="A13" s="8" t="s">
        <v>18</v>
      </c>
      <c r="B13" s="2" t="s">
        <v>19</v>
      </c>
    </row>
    <row r="14" customFormat="false" ht="15" hidden="false" customHeight="false" outlineLevel="0" collapsed="false">
      <c r="A14" s="8" t="s">
        <v>20</v>
      </c>
      <c r="B14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1"/>
  </cols>
  <sheetData>
    <row r="1" customFormat="false" ht="17.35" hidden="false" customHeight="false" outlineLevel="0" collapsed="false">
      <c r="A1" s="9" t="s">
        <v>22</v>
      </c>
    </row>
    <row r="3" customFormat="false" ht="15" hidden="false" customHeight="false" outlineLevel="0" collapsed="false">
      <c r="A3" s="10" t="s">
        <v>23</v>
      </c>
      <c r="B3" s="11" t="s">
        <v>24</v>
      </c>
      <c r="C3" s="12" t="s">
        <v>25</v>
      </c>
    </row>
    <row r="5" customFormat="false" ht="15" hidden="false" customHeight="false" outlineLevel="0" collapsed="false">
      <c r="A5" s="13" t="s">
        <v>26</v>
      </c>
      <c r="B5" s="14" t="n">
        <f aca="false">INDEX('Peak to now'!$B$5:$B$19,MATCH($B$3,'Peak to now'!$A$5:$A$19,0))</f>
        <v>1077.85</v>
      </c>
    </row>
    <row r="6" customFormat="false" ht="15" hidden="false" customHeight="false" outlineLevel="0" collapsed="false">
      <c r="A6" s="13" t="s">
        <v>27</v>
      </c>
      <c r="B6" s="14" t="n">
        <f aca="false">INDEX('Peak to now'!$C$5:$C$19,MATCH($B$3,'Peak to now'!$A$5:$A$19,0))</f>
        <v>4596.67</v>
      </c>
    </row>
    <row r="7" customFormat="false" ht="15" hidden="false" customHeight="false" outlineLevel="0" collapsed="false">
      <c r="A7" s="13" t="s">
        <v>28</v>
      </c>
      <c r="B7" s="15" t="n">
        <f aca="false">INDEX('Peak to now'!$D$5:$D$19,MATCH($B$3,'Peak to now'!$A$5:$A$19,0))</f>
        <v>45536</v>
      </c>
    </row>
    <row r="8" customFormat="false" ht="15" hidden="false" customHeight="false" outlineLevel="0" collapsed="false">
      <c r="A8" s="13" t="s">
        <v>29</v>
      </c>
      <c r="B8" s="14" t="n">
        <f aca="false">INDEX('Peak to now'!$E$5:$E$19,MATCH($B$3,'Peak to now'!$A$5:$A$19,0))</f>
        <v>2276.95</v>
      </c>
    </row>
    <row r="9" customFormat="false" ht="15" hidden="false" customHeight="false" outlineLevel="0" collapsed="false">
      <c r="A9" s="13" t="s">
        <v>30</v>
      </c>
      <c r="B9" s="16" t="n">
        <f aca="false">INDEX('Peak to now'!$G$5:$G$19,MATCH($B$3,'Peak to now'!$A$5:$A$19,0))</f>
        <v>-0.504652280890297</v>
      </c>
    </row>
    <row r="10" customFormat="false" ht="15" hidden="false" customHeight="false" outlineLevel="0" collapsed="false">
      <c r="A10" s="13" t="s">
        <v>31</v>
      </c>
      <c r="B10" s="16" t="n">
        <f aca="false">INDEX('Peak to now'!$H$5:$H$19,MATCH($B$3,'Peak to now'!$A$5:$A$19,0))</f>
        <v>1.11249246184534</v>
      </c>
    </row>
    <row r="13" customFormat="false" ht="15" hidden="false" customHeight="false" outlineLevel="0" collapsed="false">
      <c r="A13" s="17" t="s">
        <v>32</v>
      </c>
      <c r="B13" s="18" t="s">
        <v>33</v>
      </c>
      <c r="C13" s="18" t="s">
        <v>34</v>
      </c>
      <c r="D13" s="18" t="s">
        <v>35</v>
      </c>
    </row>
    <row r="14" customFormat="false" ht="15" hidden="false" customHeight="false" outlineLevel="0" collapsed="false">
      <c r="A14" s="19" t="n">
        <f aca="false">Prices!A2</f>
        <v>43466</v>
      </c>
      <c r="B14" s="20" t="n">
        <f aca="false">INDEX(Prices!$B$2:$P$2,MATCH($B$3,Prices!$B$1:$P$1,0))</f>
        <v>536.73</v>
      </c>
      <c r="C14" s="21" t="n">
        <f aca="false">B14/$B$5*100</f>
        <v>49.7963538525769</v>
      </c>
      <c r="D14" s="22" t="n">
        <f aca="false">IF(MONTH(A14)=1,YEAR(A14),"")</f>
        <v>2019</v>
      </c>
    </row>
    <row r="15" customFormat="false" ht="15" hidden="false" customHeight="false" outlineLevel="0" collapsed="false">
      <c r="A15" s="19" t="n">
        <f aca="false">Prices!A3</f>
        <v>43497</v>
      </c>
      <c r="B15" s="20" t="n">
        <f aca="false">INDEX(Prices!$B$3:$P$3,MATCH($B$3,Prices!$B$1:$P$1,0))</f>
        <v>539.41</v>
      </c>
      <c r="C15" s="21" t="n">
        <f aca="false">B15/$B$5*100</f>
        <v>50.0449969847381</v>
      </c>
      <c r="D15" s="22" t="str">
        <f aca="false">IF(MONTH(A15)=1,YEAR(A15),"")</f>
        <v/>
      </c>
    </row>
    <row r="16" customFormat="false" ht="15" hidden="false" customHeight="false" outlineLevel="0" collapsed="false">
      <c r="A16" s="19" t="n">
        <f aca="false">Prices!A4</f>
        <v>43525</v>
      </c>
      <c r="B16" s="20" t="n">
        <f aca="false">INDEX(Prices!$B$4:$P$4,MATCH($B$3,Prices!$B$1:$P$1,0))</f>
        <v>555.47</v>
      </c>
      <c r="C16" s="21" t="n">
        <f aca="false">B16/$B$5*100</f>
        <v>51.5350002319432</v>
      </c>
      <c r="D16" s="22" t="str">
        <f aca="false">IF(MONTH(A16)=1,YEAR(A16),"")</f>
        <v/>
      </c>
    </row>
    <row r="17" customFormat="false" ht="15" hidden="false" customHeight="false" outlineLevel="0" collapsed="false">
      <c r="A17" s="19" t="n">
        <f aca="false">Prices!A5</f>
        <v>43556</v>
      </c>
      <c r="B17" s="20" t="n">
        <f aca="false">INDEX(Prices!$B$5:$P$5,MATCH($B$3,Prices!$B$1:$P$1,0))</f>
        <v>488.5</v>
      </c>
      <c r="C17" s="21" t="n">
        <f aca="false">B17/$B$5*100</f>
        <v>45.3217052465557</v>
      </c>
      <c r="D17" s="22" t="str">
        <f aca="false">IF(MONTH(A17)=1,YEAR(A17),"")</f>
        <v/>
      </c>
    </row>
    <row r="18" customFormat="false" ht="15" hidden="false" customHeight="false" outlineLevel="0" collapsed="false">
      <c r="A18" s="19" t="n">
        <f aca="false">Prices!A6</f>
        <v>43586</v>
      </c>
      <c r="B18" s="20" t="n">
        <f aca="false">INDEX(Prices!$B$6:$P$6,MATCH($B$3,Prices!$B$1:$P$1,0))</f>
        <v>457.3</v>
      </c>
      <c r="C18" s="21" t="n">
        <f aca="false">B18/$B$5*100</f>
        <v>42.4270538572158</v>
      </c>
      <c r="D18" s="22" t="str">
        <f aca="false">IF(MONTH(A18)=1,YEAR(A18),"")</f>
        <v/>
      </c>
    </row>
    <row r="19" customFormat="false" ht="15" hidden="false" customHeight="false" outlineLevel="0" collapsed="false">
      <c r="A19" s="19" t="n">
        <f aca="false">Prices!A7</f>
        <v>43617</v>
      </c>
      <c r="B19" s="20" t="n">
        <f aca="false">INDEX(Prices!$B$7:$P$7,MATCH($B$3,Prices!$B$1:$P$1,0))</f>
        <v>462.76</v>
      </c>
      <c r="C19" s="21" t="n">
        <f aca="false">B19/$B$5*100</f>
        <v>42.9336178503502</v>
      </c>
      <c r="D19" s="22" t="str">
        <f aca="false">IF(MONTH(A19)=1,YEAR(A19),"")</f>
        <v/>
      </c>
    </row>
    <row r="20" customFormat="false" ht="15" hidden="false" customHeight="false" outlineLevel="0" collapsed="false">
      <c r="A20" s="19" t="n">
        <f aca="false">Prices!A8</f>
        <v>43647</v>
      </c>
      <c r="B20" s="20" t="n">
        <f aca="false">INDEX(Prices!$B$8:$P$8,MATCH($B$3,Prices!$B$1:$P$1,0))</f>
        <v>426.73</v>
      </c>
      <c r="C20" s="21" t="n">
        <f aca="false">B20/$B$5*100</f>
        <v>39.5908521593914</v>
      </c>
      <c r="D20" s="22" t="str">
        <f aca="false">IF(MONTH(A20)=1,YEAR(A20),"")</f>
        <v/>
      </c>
    </row>
    <row r="21" customFormat="false" ht="15" hidden="false" customHeight="false" outlineLevel="0" collapsed="false">
      <c r="A21" s="19" t="n">
        <f aca="false">Prices!A9</f>
        <v>43678</v>
      </c>
      <c r="B21" s="20" t="n">
        <f aca="false">INDEX(Prices!$B$9:$P$9,MATCH($B$3,Prices!$B$1:$P$1,0))</f>
        <v>411.69</v>
      </c>
      <c r="C21" s="21" t="n">
        <f aca="false">B21/$B$5*100</f>
        <v>38.1954817460686</v>
      </c>
      <c r="D21" s="22" t="str">
        <f aca="false">IF(MONTH(A21)=1,YEAR(A21),"")</f>
        <v/>
      </c>
    </row>
    <row r="22" customFormat="false" ht="15" hidden="false" customHeight="false" outlineLevel="0" collapsed="false">
      <c r="A22" s="19" t="n">
        <f aca="false">Prices!A10</f>
        <v>43709</v>
      </c>
      <c r="B22" s="20" t="n">
        <f aca="false">INDEX(Prices!$B$10:$P$10,MATCH($B$3,Prices!$B$1:$P$1,0))</f>
        <v>460.77</v>
      </c>
      <c r="C22" s="21" t="n">
        <f aca="false">B22/$B$5*100</f>
        <v>42.7489910469917</v>
      </c>
      <c r="D22" s="22" t="str">
        <f aca="false">IF(MONTH(A22)=1,YEAR(A22),"")</f>
        <v/>
      </c>
    </row>
    <row r="23" customFormat="false" ht="15" hidden="false" customHeight="false" outlineLevel="0" collapsed="false">
      <c r="A23" s="19" t="n">
        <f aca="false">Prices!A11</f>
        <v>43739</v>
      </c>
      <c r="B23" s="20" t="n">
        <f aca="false">INDEX(Prices!$B$11:$P$11,MATCH($B$3,Prices!$B$1:$P$1,0))</f>
        <v>352.99</v>
      </c>
      <c r="C23" s="21" t="n">
        <f aca="false">B23/$B$5*100</f>
        <v>32.7494549334323</v>
      </c>
      <c r="D23" s="22" t="str">
        <f aca="false">IF(MONTH(A23)=1,YEAR(A23),"")</f>
        <v/>
      </c>
    </row>
    <row r="24" customFormat="false" ht="15" hidden="false" customHeight="false" outlineLevel="0" collapsed="false">
      <c r="A24" s="19" t="n">
        <f aca="false">Prices!A12</f>
        <v>43770</v>
      </c>
      <c r="B24" s="20" t="n">
        <f aca="false">INDEX(Prices!$B$12:$P$12,MATCH($B$3,Prices!$B$1:$P$1,0))</f>
        <v>355.32</v>
      </c>
      <c r="C24" s="21" t="n">
        <f aca="false">B24/$B$5*100</f>
        <v>32.9656260147516</v>
      </c>
      <c r="D24" s="22" t="str">
        <f aca="false">IF(MONTH(A24)=1,YEAR(A24),"")</f>
        <v/>
      </c>
    </row>
    <row r="25" customFormat="false" ht="15" hidden="false" customHeight="false" outlineLevel="0" collapsed="false">
      <c r="A25" s="19" t="n">
        <f aca="false">Prices!A13</f>
        <v>43800</v>
      </c>
      <c r="B25" s="20" t="n">
        <f aca="false">INDEX(Prices!$B$13:$P$13,MATCH($B$3,Prices!$B$1:$P$1,0))</f>
        <v>371.23</v>
      </c>
      <c r="C25" s="21" t="n">
        <f aca="false">B25/$B$5*100</f>
        <v>34.4417126687387</v>
      </c>
      <c r="D25" s="22" t="str">
        <f aca="false">IF(MONTH(A25)=1,YEAR(A25),"")</f>
        <v/>
      </c>
    </row>
    <row r="26" customFormat="false" ht="15" hidden="false" customHeight="false" outlineLevel="0" collapsed="false">
      <c r="A26" s="19" t="n">
        <f aca="false">Prices!A14</f>
        <v>43831</v>
      </c>
      <c r="B26" s="20" t="n">
        <f aca="false">INDEX(Prices!$B$14:$P$14,MATCH($B$3,Prices!$B$1:$P$1,0))</f>
        <v>340.87</v>
      </c>
      <c r="C26" s="21" t="n">
        <f aca="false">B26/$B$5*100</f>
        <v>31.6249942014195</v>
      </c>
      <c r="D26" s="22" t="n">
        <f aca="false">IF(MONTH(A26)=1,YEAR(A26),"")</f>
        <v>2020</v>
      </c>
    </row>
    <row r="27" customFormat="false" ht="15" hidden="false" customHeight="false" outlineLevel="0" collapsed="false">
      <c r="A27" s="19" t="n">
        <f aca="false">Prices!A15</f>
        <v>43862</v>
      </c>
      <c r="B27" s="20" t="n">
        <f aca="false">INDEX(Prices!$B$15:$P$15,MATCH($B$3,Prices!$B$1:$P$1,0))</f>
        <v>358.49</v>
      </c>
      <c r="C27" s="21" t="n">
        <f aca="false">B27/$B$5*100</f>
        <v>33.2597300180916</v>
      </c>
      <c r="D27" s="22" t="str">
        <f aca="false">IF(MONTH(A27)=1,YEAR(A27),"")</f>
        <v/>
      </c>
    </row>
    <row r="28" customFormat="false" ht="15" hidden="false" customHeight="false" outlineLevel="0" collapsed="false">
      <c r="A28" s="19" t="n">
        <f aca="false">Prices!A16</f>
        <v>43891</v>
      </c>
      <c r="B28" s="20" t="n">
        <f aca="false">INDEX(Prices!$B$16:$P$16,MATCH($B$3,Prices!$B$1:$P$1,0))</f>
        <v>384.77</v>
      </c>
      <c r="C28" s="21" t="n">
        <f aca="false">B28/$B$5*100</f>
        <v>35.6979171498817</v>
      </c>
      <c r="D28" s="22" t="str">
        <f aca="false">IF(MONTH(A28)=1,YEAR(A28),"")</f>
        <v/>
      </c>
    </row>
    <row r="29" customFormat="false" ht="15" hidden="false" customHeight="false" outlineLevel="0" collapsed="false">
      <c r="A29" s="19" t="n">
        <f aca="false">Prices!A17</f>
        <v>43922</v>
      </c>
      <c r="B29" s="20" t="n">
        <f aca="false">INDEX(Prices!$B$17:$P$17,MATCH($B$3,Prices!$B$1:$P$1,0))</f>
        <v>405.23</v>
      </c>
      <c r="C29" s="21" t="n">
        <f aca="false">B29/$B$5*100</f>
        <v>37.5961404648142</v>
      </c>
      <c r="D29" s="22" t="str">
        <f aca="false">IF(MONTH(A29)=1,YEAR(A29),"")</f>
        <v/>
      </c>
    </row>
    <row r="30" customFormat="false" ht="15" hidden="false" customHeight="false" outlineLevel="0" collapsed="false">
      <c r="A30" s="19" t="n">
        <f aca="false">Prices!A18</f>
        <v>43952</v>
      </c>
      <c r="B30" s="20" t="n">
        <f aca="false">INDEX(Prices!$B$18:$P$18,MATCH($B$3,Prices!$B$1:$P$1,0))</f>
        <v>438.52</v>
      </c>
      <c r="C30" s="21" t="n">
        <f aca="false">B30/$B$5*100</f>
        <v>40.6846963863246</v>
      </c>
      <c r="D30" s="22" t="str">
        <f aca="false">IF(MONTH(A30)=1,YEAR(A30),"")</f>
        <v/>
      </c>
    </row>
    <row r="31" customFormat="false" ht="15" hidden="false" customHeight="false" outlineLevel="0" collapsed="false">
      <c r="A31" s="19" t="n">
        <f aca="false">Prices!A19</f>
        <v>43983</v>
      </c>
      <c r="B31" s="20" t="n">
        <f aca="false">INDEX(Prices!$B$19:$P$19,MATCH($B$3,Prices!$B$1:$P$1,0))</f>
        <v>465.04</v>
      </c>
      <c r="C31" s="21" t="n">
        <f aca="false">B31/$B$5*100</f>
        <v>43.1451500672635</v>
      </c>
      <c r="D31" s="22" t="str">
        <f aca="false">IF(MONTH(A31)=1,YEAR(A31),"")</f>
        <v/>
      </c>
    </row>
    <row r="32" customFormat="false" ht="15" hidden="false" customHeight="false" outlineLevel="0" collapsed="false">
      <c r="A32" s="19" t="n">
        <f aca="false">Prices!A20</f>
        <v>44013</v>
      </c>
      <c r="B32" s="20" t="n">
        <f aca="false">INDEX(Prices!$B$20:$P$20,MATCH($B$3,Prices!$B$1:$P$1,0))</f>
        <v>575.58</v>
      </c>
      <c r="C32" s="21" t="n">
        <f aca="false">B32/$B$5*100</f>
        <v>53.4007514960338</v>
      </c>
      <c r="D32" s="22" t="str">
        <f aca="false">IF(MONTH(A32)=1,YEAR(A32),"")</f>
        <v/>
      </c>
    </row>
    <row r="33" customFormat="false" ht="15" hidden="false" customHeight="false" outlineLevel="0" collapsed="false">
      <c r="A33" s="19" t="n">
        <f aca="false">Prices!A21</f>
        <v>44044</v>
      </c>
      <c r="B33" s="20" t="n">
        <f aca="false">INDEX(Prices!$B$21:$P$21,MATCH($B$3,Prices!$B$1:$P$1,0))</f>
        <v>709.92</v>
      </c>
      <c r="C33" s="21" t="n">
        <f aca="false">B33/$B$5*100</f>
        <v>65.8644523820569</v>
      </c>
      <c r="D33" s="22" t="str">
        <f aca="false">IF(MONTH(A33)=1,YEAR(A33),"")</f>
        <v/>
      </c>
    </row>
    <row r="34" customFormat="false" ht="15" hidden="false" customHeight="false" outlineLevel="0" collapsed="false">
      <c r="A34" s="19" t="n">
        <f aca="false">Prices!A22</f>
        <v>44075</v>
      </c>
      <c r="B34" s="20" t="n">
        <f aca="false">INDEX(Prices!$B$22:$P$22,MATCH($B$3,Prices!$B$1:$P$1,0))</f>
        <v>824.3</v>
      </c>
      <c r="C34" s="21" t="n">
        <f aca="false">B34/$B$5*100</f>
        <v>76.4763185972074</v>
      </c>
      <c r="D34" s="22" t="str">
        <f aca="false">IF(MONTH(A34)=1,YEAR(A34),"")</f>
        <v/>
      </c>
    </row>
    <row r="35" customFormat="false" ht="15" hidden="false" customHeight="false" outlineLevel="0" collapsed="false">
      <c r="A35" s="19" t="n">
        <f aca="false">Prices!A23</f>
        <v>44105</v>
      </c>
      <c r="B35" s="20" t="n">
        <f aca="false">INDEX(Prices!$B$23:$P$23,MATCH($B$3,Prices!$B$1:$P$1,0))</f>
        <v>763.39</v>
      </c>
      <c r="C35" s="21" t="n">
        <f aca="false">B35/$B$5*100</f>
        <v>70.8252539778262</v>
      </c>
      <c r="D35" s="22" t="str">
        <f aca="false">IF(MONTH(A35)=1,YEAR(A35),"")</f>
        <v/>
      </c>
    </row>
    <row r="36" customFormat="false" ht="15" hidden="false" customHeight="false" outlineLevel="0" collapsed="false">
      <c r="A36" s="19" t="n">
        <f aca="false">Prices!A24</f>
        <v>44136</v>
      </c>
      <c r="B36" s="20" t="n">
        <f aca="false">INDEX(Prices!$B$24:$P$24,MATCH($B$3,Prices!$B$1:$P$1,0))</f>
        <v>660.38</v>
      </c>
      <c r="C36" s="21" t="n">
        <f aca="false">B36/$B$5*100</f>
        <v>61.2682655285986</v>
      </c>
      <c r="D36" s="22" t="str">
        <f aca="false">IF(MONTH(A36)=1,YEAR(A36),"")</f>
        <v/>
      </c>
    </row>
    <row r="37" customFormat="false" ht="15" hidden="false" customHeight="false" outlineLevel="0" collapsed="false">
      <c r="A37" s="19" t="n">
        <f aca="false">Prices!A25</f>
        <v>44166</v>
      </c>
      <c r="B37" s="20" t="n">
        <f aca="false">INDEX(Prices!$B$25:$P$25,MATCH($B$3,Prices!$B$1:$P$1,0))</f>
        <v>741.36</v>
      </c>
      <c r="C37" s="21" t="n">
        <f aca="false">B37/$B$5*100</f>
        <v>68.7813703205456</v>
      </c>
      <c r="D37" s="22" t="str">
        <f aca="false">IF(MONTH(A37)=1,YEAR(A37),"")</f>
        <v/>
      </c>
    </row>
    <row r="38" customFormat="false" ht="15" hidden="false" customHeight="false" outlineLevel="0" collapsed="false">
      <c r="A38" s="19" t="n">
        <f aca="false">Prices!A26</f>
        <v>44197</v>
      </c>
      <c r="B38" s="20" t="n">
        <f aca="false">INDEX(Prices!$B$26:$P$26,MATCH($B$3,Prices!$B$1:$P$1,0))</f>
        <v>887.71</v>
      </c>
      <c r="C38" s="21" t="n">
        <f aca="false">B38/$B$5*100</f>
        <v>82.3593264368883</v>
      </c>
      <c r="D38" s="22" t="n">
        <f aca="false">IF(MONTH(A38)=1,YEAR(A38),"")</f>
        <v>2021</v>
      </c>
    </row>
    <row r="39" customFormat="false" ht="15" hidden="false" customHeight="false" outlineLevel="0" collapsed="false">
      <c r="A39" s="19" t="n">
        <f aca="false">Prices!A27</f>
        <v>44228</v>
      </c>
      <c r="B39" s="20" t="n">
        <f aca="false">INDEX(Prices!$B$27:$P$27,MATCH($B$3,Prices!$B$1:$P$1,0))</f>
        <v>939.7</v>
      </c>
      <c r="C39" s="21" t="n">
        <f aca="false">B39/$B$5*100</f>
        <v>87.1828176462402</v>
      </c>
      <c r="D39" s="22" t="str">
        <f aca="false">IF(MONTH(A39)=1,YEAR(A39),"")</f>
        <v/>
      </c>
    </row>
    <row r="40" customFormat="false" ht="15" hidden="false" customHeight="false" outlineLevel="0" collapsed="false">
      <c r="A40" s="19" t="n">
        <f aca="false">Prices!A28</f>
        <v>44256</v>
      </c>
      <c r="B40" s="20" t="n">
        <f aca="false">INDEX(Prices!$B$28:$P$28,MATCH($B$3,Prices!$B$1:$P$1,0))</f>
        <v>1142.76</v>
      </c>
      <c r="C40" s="21" t="n">
        <f aca="false">B40/$B$5*100</f>
        <v>106.022173771861</v>
      </c>
      <c r="D40" s="22" t="str">
        <f aca="false">IF(MONTH(A40)=1,YEAR(A40),"")</f>
        <v/>
      </c>
    </row>
    <row r="41" customFormat="false" ht="15" hidden="false" customHeight="false" outlineLevel="0" collapsed="false">
      <c r="A41" s="19" t="n">
        <f aca="false">Prices!A29</f>
        <v>44287</v>
      </c>
      <c r="B41" s="20" t="n">
        <f aca="false">INDEX(Prices!$B$29:$P$29,MATCH($B$3,Prices!$B$1:$P$1,0))</f>
        <v>1112.14</v>
      </c>
      <c r="C41" s="21" t="n">
        <f aca="false">B41/$B$5*100</f>
        <v>103.18133320963</v>
      </c>
      <c r="D41" s="22" t="str">
        <f aca="false">IF(MONTH(A41)=1,YEAR(A41),"")</f>
        <v/>
      </c>
    </row>
    <row r="42" customFormat="false" ht="15" hidden="false" customHeight="false" outlineLevel="0" collapsed="false">
      <c r="A42" s="19" t="n">
        <f aca="false">Prices!A30</f>
        <v>44317</v>
      </c>
      <c r="B42" s="20" t="n">
        <f aca="false">INDEX(Prices!$B$30:$P$30,MATCH($B$3,Prices!$B$1:$P$1,0))</f>
        <v>1178.45</v>
      </c>
      <c r="C42" s="21" t="n">
        <f aca="false">B42/$B$5*100</f>
        <v>109.333395184859</v>
      </c>
      <c r="D42" s="22" t="str">
        <f aca="false">IF(MONTH(A42)=1,YEAR(A42),"")</f>
        <v/>
      </c>
    </row>
    <row r="43" customFormat="false" ht="15" hidden="false" customHeight="false" outlineLevel="0" collapsed="false">
      <c r="A43" s="19" t="n">
        <f aca="false">Prices!A31</f>
        <v>44348</v>
      </c>
      <c r="B43" s="20" t="n">
        <f aca="false">INDEX(Prices!$B$31:$P$31,MATCH($B$3,Prices!$B$1:$P$1,0))</f>
        <v>1345.71</v>
      </c>
      <c r="C43" s="21" t="n">
        <f aca="false">B43/$B$5*100</f>
        <v>124.851324395788</v>
      </c>
      <c r="D43" s="22" t="str">
        <f aca="false">IF(MONTH(A43)=1,YEAR(A43),"")</f>
        <v/>
      </c>
    </row>
    <row r="44" customFormat="false" ht="15" hidden="false" customHeight="false" outlineLevel="0" collapsed="false">
      <c r="A44" s="19" t="n">
        <f aca="false">Prices!A32</f>
        <v>44378</v>
      </c>
      <c r="B44" s="20" t="n">
        <f aca="false">INDEX(Prices!$B$32:$P$32,MATCH($B$3,Prices!$B$1:$P$1,0))</f>
        <v>1416.95</v>
      </c>
      <c r="C44" s="21" t="n">
        <f aca="false">B44/$B$5*100</f>
        <v>131.460778401447</v>
      </c>
      <c r="D44" s="22" t="str">
        <f aca="false">IF(MONTH(A44)=1,YEAR(A44),"")</f>
        <v/>
      </c>
    </row>
    <row r="45" customFormat="false" ht="15" hidden="false" customHeight="false" outlineLevel="0" collapsed="false">
      <c r="A45" s="19" t="n">
        <f aca="false">Prices!A33</f>
        <v>44409</v>
      </c>
      <c r="B45" s="20" t="n">
        <f aca="false">INDEX(Prices!$B$33:$P$33,MATCH($B$3,Prices!$B$1:$P$1,0))</f>
        <v>1243.74</v>
      </c>
      <c r="C45" s="21" t="n">
        <f aca="false">B45/$B$5*100</f>
        <v>115.390824326205</v>
      </c>
      <c r="D45" s="22" t="str">
        <f aca="false">IF(MONTH(A45)=1,YEAR(A45),"")</f>
        <v/>
      </c>
    </row>
    <row r="46" customFormat="false" ht="15" hidden="false" customHeight="false" outlineLevel="0" collapsed="false">
      <c r="A46" s="19" t="n">
        <f aca="false">Prices!A34</f>
        <v>44440</v>
      </c>
      <c r="B46" s="20" t="n">
        <f aca="false">INDEX(Prices!$B$34:$P$34,MATCH($B$3,Prices!$B$1:$P$1,0))</f>
        <v>1317.48</v>
      </c>
      <c r="C46" s="21" t="n">
        <f aca="false">B46/$B$5*100</f>
        <v>122.232221552164</v>
      </c>
      <c r="D46" s="22" t="str">
        <f aca="false">IF(MONTH(A46)=1,YEAR(A46),"")</f>
        <v/>
      </c>
    </row>
    <row r="47" customFormat="false" ht="15" hidden="false" customHeight="false" outlineLevel="0" collapsed="false">
      <c r="A47" s="19" t="n">
        <f aca="false">Prices!A35</f>
        <v>44470</v>
      </c>
      <c r="B47" s="20" t="n">
        <f aca="false">INDEX(Prices!$B$35:$P$35,MATCH($B$3,Prices!$B$1:$P$1,0))</f>
        <v>1154.97</v>
      </c>
      <c r="C47" s="21" t="n">
        <f aca="false">B47/$B$5*100</f>
        <v>107.154984459804</v>
      </c>
      <c r="D47" s="22" t="str">
        <f aca="false">IF(MONTH(A47)=1,YEAR(A47),"")</f>
        <v/>
      </c>
    </row>
    <row r="48" customFormat="false" ht="15" hidden="false" customHeight="false" outlineLevel="0" collapsed="false">
      <c r="A48" s="19" t="n">
        <f aca="false">Prices!A36</f>
        <v>44501</v>
      </c>
      <c r="B48" s="20" t="n">
        <f aca="false">INDEX(Prices!$B$36:$P$36,MATCH($B$3,Prices!$B$1:$P$1,0))</f>
        <v>1153.99</v>
      </c>
      <c r="C48" s="21" t="n">
        <f aca="false">B48/$B$5*100</f>
        <v>107.064062717447</v>
      </c>
      <c r="D48" s="22" t="str">
        <f aca="false">IF(MONTH(A48)=1,YEAR(A48),"")</f>
        <v/>
      </c>
    </row>
    <row r="49" customFormat="false" ht="15" hidden="false" customHeight="false" outlineLevel="0" collapsed="false">
      <c r="A49" s="19" t="n">
        <f aca="false">Prices!A37</f>
        <v>44531</v>
      </c>
      <c r="B49" s="20" t="n">
        <f aca="false">INDEX(Prices!$B$37:$P$37,MATCH($B$3,Prices!$B$1:$P$1,0))</f>
        <v>1088.14</v>
      </c>
      <c r="C49" s="21" t="n">
        <f aca="false">B49/$B$5*100</f>
        <v>100.954678294753</v>
      </c>
      <c r="D49" s="22" t="str">
        <f aca="false">IF(MONTH(A49)=1,YEAR(A49),"")</f>
        <v/>
      </c>
    </row>
    <row r="50" customFormat="false" ht="15" hidden="false" customHeight="false" outlineLevel="0" collapsed="false">
      <c r="A50" s="19" t="n">
        <f aca="false">Prices!A38</f>
        <v>44562</v>
      </c>
      <c r="B50" s="20" t="n">
        <f aca="false">INDEX(Prices!$B$38:$P$38,MATCH($B$3,Prices!$B$1:$P$1,0))</f>
        <v>1126.97</v>
      </c>
      <c r="C50" s="21" t="n">
        <f aca="false">B50/$B$5*100</f>
        <v>104.557220392448</v>
      </c>
      <c r="D50" s="22" t="n">
        <f aca="false">IF(MONTH(A50)=1,YEAR(A50),"")</f>
        <v>2022</v>
      </c>
    </row>
    <row r="51" customFormat="false" ht="15" hidden="false" customHeight="false" outlineLevel="0" collapsed="false">
      <c r="A51" s="19" t="n">
        <f aca="false">Prices!A39</f>
        <v>44593</v>
      </c>
      <c r="B51" s="20" t="n">
        <f aca="false">INDEX(Prices!$B$39:$P$39,MATCH($B$3,Prices!$B$1:$P$1,0))</f>
        <v>1139.4</v>
      </c>
      <c r="C51" s="21" t="n">
        <f aca="false">B51/$B$5*100</f>
        <v>105.710442083778</v>
      </c>
      <c r="D51" s="22" t="str">
        <f aca="false">IF(MONTH(A51)=1,YEAR(A51),"")</f>
        <v/>
      </c>
    </row>
    <row r="52" customFormat="false" ht="15" hidden="false" customHeight="false" outlineLevel="0" collapsed="false">
      <c r="A52" s="19" t="n">
        <f aca="false">Prices!A40</f>
        <v>44621</v>
      </c>
      <c r="B52" s="20" t="n">
        <f aca="false">INDEX(Prices!$B$40:$P$40,MATCH($B$3,Prices!$B$1:$P$1,0))</f>
        <v>1195.01</v>
      </c>
      <c r="C52" s="21" t="n">
        <f aca="false">B52/$B$5*100</f>
        <v>110.869787076124</v>
      </c>
      <c r="D52" s="22" t="str">
        <f aca="false">IF(MONTH(A52)=1,YEAR(A52),"")</f>
        <v/>
      </c>
    </row>
    <row r="53" customFormat="false" ht="15" hidden="false" customHeight="false" outlineLevel="0" collapsed="false">
      <c r="A53" s="19" t="n">
        <f aca="false">Prices!A41</f>
        <v>44652</v>
      </c>
      <c r="B53" s="20" t="n">
        <f aca="false">INDEX(Prices!$B$41:$P$41,MATCH($B$3,Prices!$B$1:$P$1,0))</f>
        <v>1167.41</v>
      </c>
      <c r="C53" s="21" t="n">
        <f aca="false">B53/$B$5*100</f>
        <v>108.309133924015</v>
      </c>
      <c r="D53" s="22" t="str">
        <f aca="false">IF(MONTH(A53)=1,YEAR(A53),"")</f>
        <v/>
      </c>
    </row>
    <row r="54" customFormat="false" ht="15" hidden="false" customHeight="false" outlineLevel="0" collapsed="false">
      <c r="A54" s="19" t="n">
        <f aca="false">Prices!A42</f>
        <v>44682</v>
      </c>
      <c r="B54" s="20" t="n">
        <f aca="false">INDEX(Prices!$B$42:$P$42,MATCH($B$3,Prices!$B$1:$P$1,0))</f>
        <v>1160.86</v>
      </c>
      <c r="C54" s="21" t="n">
        <f aca="false">B54/$B$5*100</f>
        <v>107.70144268683</v>
      </c>
      <c r="D54" s="22" t="str">
        <f aca="false">IF(MONTH(A54)=1,YEAR(A54),"")</f>
        <v/>
      </c>
    </row>
    <row r="55" customFormat="false" ht="15" hidden="false" customHeight="false" outlineLevel="0" collapsed="false">
      <c r="A55" s="19" t="n">
        <f aca="false">Prices!A43</f>
        <v>44713</v>
      </c>
      <c r="B55" s="20" t="n">
        <f aca="false">INDEX(Prices!$B$43:$P$43,MATCH($B$3,Prices!$B$1:$P$1,0))</f>
        <v>1196.31</v>
      </c>
      <c r="C55" s="21" t="n">
        <f aca="false">B55/$B$5*100</f>
        <v>110.99039755068</v>
      </c>
      <c r="D55" s="22" t="str">
        <f aca="false">IF(MONTH(A55)=1,YEAR(A55),"")</f>
        <v/>
      </c>
    </row>
    <row r="56" customFormat="false" ht="15" hidden="false" customHeight="false" outlineLevel="0" collapsed="false">
      <c r="A56" s="19" t="n">
        <f aca="false">Prices!A44</f>
        <v>44743</v>
      </c>
      <c r="B56" s="20" t="n">
        <f aca="false">INDEX(Prices!$B$44:$P$44,MATCH($B$3,Prices!$B$1:$P$1,0))</f>
        <v>1138.39</v>
      </c>
      <c r="C56" s="21" t="n">
        <f aca="false">B56/$B$5*100</f>
        <v>105.616737022777</v>
      </c>
      <c r="D56" s="22" t="str">
        <f aca="false">IF(MONTH(A56)=1,YEAR(A56),"")</f>
        <v/>
      </c>
    </row>
    <row r="57" customFormat="false" ht="15" hidden="false" customHeight="false" outlineLevel="0" collapsed="false">
      <c r="A57" s="19" t="n">
        <f aca="false">Prices!A45</f>
        <v>44774</v>
      </c>
      <c r="B57" s="20" t="n">
        <f aca="false">INDEX(Prices!$B$45:$P$45,MATCH($B$3,Prices!$B$1:$P$1,0))</f>
        <v>1091.18</v>
      </c>
      <c r="C57" s="21" t="n">
        <f aca="false">B57/$B$5*100</f>
        <v>101.236721250638</v>
      </c>
      <c r="D57" s="22" t="str">
        <f aca="false">IF(MONTH(A57)=1,YEAR(A57),"")</f>
        <v/>
      </c>
    </row>
    <row r="58" customFormat="false" ht="15" hidden="false" customHeight="false" outlineLevel="0" collapsed="false">
      <c r="A58" s="19" t="n">
        <f aca="false">Prices!A46</f>
        <v>44805</v>
      </c>
      <c r="B58" s="20" t="n">
        <f aca="false">INDEX(Prices!$B$46:$P$46,MATCH($B$3,Prices!$B$1:$P$1,0))</f>
        <v>1099.45</v>
      </c>
      <c r="C58" s="21" t="n">
        <f aca="false">B58/$B$5*100</f>
        <v>102.003989423389</v>
      </c>
      <c r="D58" s="22" t="str">
        <f aca="false">IF(MONTH(A58)=1,YEAR(A58),"")</f>
        <v/>
      </c>
    </row>
    <row r="59" customFormat="false" ht="15" hidden="false" customHeight="false" outlineLevel="0" collapsed="false">
      <c r="A59" s="19" t="n">
        <f aca="false">Prices!A47</f>
        <v>44835</v>
      </c>
      <c r="B59" s="20" t="n">
        <f aca="false">INDEX(Prices!$B$47:$P$47,MATCH($B$3,Prices!$B$1:$P$1,0))</f>
        <v>1080.4</v>
      </c>
      <c r="C59" s="21" t="n">
        <f aca="false">B59/$B$5*100</f>
        <v>100.236582084706</v>
      </c>
      <c r="D59" s="22" t="str">
        <f aca="false">IF(MONTH(A59)=1,YEAR(A59),"")</f>
        <v/>
      </c>
    </row>
    <row r="60" customFormat="false" ht="15" hidden="false" customHeight="false" outlineLevel="0" collapsed="false">
      <c r="A60" s="19" t="n">
        <f aca="false">Prices!A48</f>
        <v>44866</v>
      </c>
      <c r="B60" s="20" t="n">
        <f aca="false">INDEX(Prices!$B$48:$P$48,MATCH($B$3,Prices!$B$1:$P$1,0))</f>
        <v>1057.84</v>
      </c>
      <c r="C60" s="21" t="n">
        <f aca="false">B60/$B$5*100</f>
        <v>98.1435264647215</v>
      </c>
      <c r="D60" s="22" t="str">
        <f aca="false">IF(MONTH(A60)=1,YEAR(A60),"")</f>
        <v/>
      </c>
    </row>
    <row r="61" customFormat="false" ht="15" hidden="false" customHeight="false" outlineLevel="0" collapsed="false">
      <c r="A61" s="19" t="n">
        <f aca="false">Prices!A49</f>
        <v>44896</v>
      </c>
      <c r="B61" s="20" t="n">
        <f aca="false">INDEX(Prices!$B$49:$P$49,MATCH($B$3,Prices!$B$1:$P$1,0))</f>
        <v>1061.86</v>
      </c>
      <c r="C61" s="21" t="n">
        <f aca="false">B61/$B$5*100</f>
        <v>98.5164911629633</v>
      </c>
      <c r="D61" s="22" t="str">
        <f aca="false">IF(MONTH(A61)=1,YEAR(A61),"")</f>
        <v/>
      </c>
    </row>
    <row r="62" customFormat="false" ht="15" hidden="false" customHeight="false" outlineLevel="0" collapsed="false">
      <c r="A62" s="19" t="n">
        <f aca="false">Prices!A50</f>
        <v>44927</v>
      </c>
      <c r="B62" s="20" t="n">
        <f aca="false">INDEX(Prices!$B$50:$P$50,MATCH($B$3,Prices!$B$1:$P$1,0))</f>
        <v>1077.85</v>
      </c>
      <c r="C62" s="21" t="n">
        <f aca="false">B62/$B$5*100</f>
        <v>100</v>
      </c>
      <c r="D62" s="22" t="n">
        <f aca="false">IF(MONTH(A62)=1,YEAR(A62),"")</f>
        <v>2023</v>
      </c>
    </row>
    <row r="63" customFormat="false" ht="15" hidden="false" customHeight="false" outlineLevel="0" collapsed="false">
      <c r="A63" s="19" t="n">
        <f aca="false">Prices!A51</f>
        <v>44958</v>
      </c>
      <c r="B63" s="20" t="n">
        <f aca="false">INDEX(Prices!$B$51:$P$51,MATCH($B$3,Prices!$B$1:$P$1,0))</f>
        <v>961.37</v>
      </c>
      <c r="C63" s="21" t="n">
        <f aca="false">B63/$B$5*100</f>
        <v>89.1933014797978</v>
      </c>
      <c r="D63" s="22" t="str">
        <f aca="false">IF(MONTH(A63)=1,YEAR(A63),"")</f>
        <v/>
      </c>
    </row>
    <row r="64" customFormat="false" ht="15" hidden="false" customHeight="false" outlineLevel="0" collapsed="false">
      <c r="A64" s="19" t="n">
        <f aca="false">Prices!A52</f>
        <v>44986</v>
      </c>
      <c r="B64" s="20" t="n">
        <f aca="false">INDEX(Prices!$B$52:$P$52,MATCH($B$3,Prices!$B$1:$P$1,0))</f>
        <v>1149.57</v>
      </c>
      <c r="C64" s="21" t="n">
        <f aca="false">B64/$B$5*100</f>
        <v>106.653987103957</v>
      </c>
      <c r="D64" s="22" t="str">
        <f aca="false">IF(MONTH(A64)=1,YEAR(A64),"")</f>
        <v/>
      </c>
    </row>
    <row r="65" customFormat="false" ht="15" hidden="false" customHeight="false" outlineLevel="0" collapsed="false">
      <c r="A65" s="19" t="n">
        <f aca="false">Prices!A53</f>
        <v>45017</v>
      </c>
      <c r="B65" s="20" t="n">
        <f aca="false">INDEX(Prices!$B$53:$P$53,MATCH($B$3,Prices!$B$1:$P$1,0))</f>
        <v>1159.07</v>
      </c>
      <c r="C65" s="21" t="n">
        <f aca="false">B65/$B$5*100</f>
        <v>107.535371341096</v>
      </c>
      <c r="D65" s="22" t="str">
        <f aca="false">IF(MONTH(A65)=1,YEAR(A65),"")</f>
        <v/>
      </c>
    </row>
    <row r="66" customFormat="false" ht="15" hidden="false" customHeight="false" outlineLevel="0" collapsed="false">
      <c r="A66" s="19" t="n">
        <f aca="false">Prices!A54</f>
        <v>45047</v>
      </c>
      <c r="B66" s="20" t="n">
        <f aca="false">INDEX(Prices!$B$54:$P$54,MATCH($B$3,Prices!$B$1:$P$1,0))</f>
        <v>1346.1</v>
      </c>
      <c r="C66" s="21" t="n">
        <f aca="false">B66/$B$5*100</f>
        <v>124.887507538155</v>
      </c>
      <c r="D66" s="22" t="str">
        <f aca="false">IF(MONTH(A66)=1,YEAR(A66),"")</f>
        <v/>
      </c>
    </row>
    <row r="67" customFormat="false" ht="15" hidden="false" customHeight="false" outlineLevel="0" collapsed="false">
      <c r="A67" s="19" t="n">
        <f aca="false">Prices!A55</f>
        <v>45078</v>
      </c>
      <c r="B67" s="20" t="n">
        <f aca="false">INDEX(Prices!$B$55:$P$55,MATCH($B$3,Prices!$B$1:$P$1,0))</f>
        <v>1426.65</v>
      </c>
      <c r="C67" s="21" t="n">
        <f aca="false">B67/$B$5*100</f>
        <v>132.36071809621</v>
      </c>
      <c r="D67" s="22" t="str">
        <f aca="false">IF(MONTH(A67)=1,YEAR(A67),"")</f>
        <v/>
      </c>
    </row>
    <row r="68" customFormat="false" ht="15" hidden="false" customHeight="false" outlineLevel="0" collapsed="false">
      <c r="A68" s="19" t="n">
        <f aca="false">Prices!A56</f>
        <v>45108</v>
      </c>
      <c r="B68" s="20" t="n">
        <f aca="false">INDEX(Prices!$B$56:$P$56,MATCH($B$3,Prices!$B$1:$P$1,0))</f>
        <v>1617.26</v>
      </c>
      <c r="C68" s="21" t="n">
        <f aca="false">B68/$B$5*100</f>
        <v>150.044996984738</v>
      </c>
      <c r="D68" s="22" t="str">
        <f aca="false">IF(MONTH(A68)=1,YEAR(A68),"")</f>
        <v/>
      </c>
    </row>
    <row r="69" customFormat="false" ht="15" hidden="false" customHeight="false" outlineLevel="0" collapsed="false">
      <c r="A69" s="19" t="n">
        <f aca="false">Prices!A57</f>
        <v>45139</v>
      </c>
      <c r="B69" s="20" t="n">
        <f aca="false">INDEX(Prices!$B$57:$P$57,MATCH($B$3,Prices!$B$1:$P$1,0))</f>
        <v>1947.06</v>
      </c>
      <c r="C69" s="21" t="n">
        <f aca="false">B69/$B$5*100</f>
        <v>180.642946606671</v>
      </c>
      <c r="D69" s="22" t="str">
        <f aca="false">IF(MONTH(A69)=1,YEAR(A69),"")</f>
        <v/>
      </c>
    </row>
    <row r="70" customFormat="false" ht="15" hidden="false" customHeight="false" outlineLevel="0" collapsed="false">
      <c r="A70" s="19" t="n">
        <f aca="false">Prices!A58</f>
        <v>45170</v>
      </c>
      <c r="B70" s="20" t="n">
        <f aca="false">INDEX(Prices!$B$58:$P$58,MATCH($B$3,Prices!$B$1:$P$1,0))</f>
        <v>1984.88</v>
      </c>
      <c r="C70" s="21" t="n">
        <f aca="false">B70/$B$5*100</f>
        <v>184.151783643364</v>
      </c>
      <c r="D70" s="22" t="str">
        <f aca="false">IF(MONTH(A70)=1,YEAR(A70),"")</f>
        <v/>
      </c>
    </row>
    <row r="71" customFormat="false" ht="15" hidden="false" customHeight="false" outlineLevel="0" collapsed="false">
      <c r="A71" s="19" t="n">
        <f aca="false">Prices!A59</f>
        <v>45200</v>
      </c>
      <c r="B71" s="20" t="n">
        <f aca="false">INDEX(Prices!$B$59:$P$59,MATCH($B$3,Prices!$B$1:$P$1,0))</f>
        <v>1968.07</v>
      </c>
      <c r="C71" s="21" t="n">
        <f aca="false">B71/$B$5*100</f>
        <v>182.592197430069</v>
      </c>
      <c r="D71" s="22" t="str">
        <f aca="false">IF(MONTH(A71)=1,YEAR(A71),"")</f>
        <v/>
      </c>
    </row>
    <row r="72" customFormat="false" ht="15" hidden="false" customHeight="false" outlineLevel="0" collapsed="false">
      <c r="A72" s="19" t="n">
        <f aca="false">Prices!A60</f>
        <v>45231</v>
      </c>
      <c r="B72" s="20" t="n">
        <f aca="false">INDEX(Prices!$B$60:$P$60,MATCH($B$3,Prices!$B$1:$P$1,0))</f>
        <v>1888.32</v>
      </c>
      <c r="C72" s="21" t="n">
        <f aca="false">B72/$B$5*100</f>
        <v>175.19320870251</v>
      </c>
      <c r="D72" s="22" t="str">
        <f aca="false">IF(MONTH(A72)=1,YEAR(A72),"")</f>
        <v/>
      </c>
    </row>
    <row r="73" customFormat="false" ht="15" hidden="false" customHeight="false" outlineLevel="0" collapsed="false">
      <c r="A73" s="19" t="n">
        <f aca="false">Prices!A61</f>
        <v>45261</v>
      </c>
      <c r="B73" s="20" t="n">
        <f aca="false">INDEX(Prices!$B$61:$P$61,MATCH($B$3,Prices!$B$1:$P$1,0))</f>
        <v>2269.08</v>
      </c>
      <c r="C73" s="21" t="n">
        <f aca="false">B73/$B$5*100</f>
        <v>210.519088927031</v>
      </c>
      <c r="D73" s="22" t="str">
        <f aca="false">IF(MONTH(A73)=1,YEAR(A73),"")</f>
        <v/>
      </c>
    </row>
    <row r="74" customFormat="false" ht="15" hidden="false" customHeight="false" outlineLevel="0" collapsed="false">
      <c r="A74" s="19" t="n">
        <f aca="false">Prices!A62</f>
        <v>45292</v>
      </c>
      <c r="B74" s="20" t="n">
        <f aca="false">INDEX(Prices!$B$62:$P$62,MATCH($B$3,Prices!$B$1:$P$1,0))</f>
        <v>2571.63</v>
      </c>
      <c r="C74" s="21" t="n">
        <f aca="false">B74/$B$5*100</f>
        <v>238.588857447697</v>
      </c>
      <c r="D74" s="22" t="n">
        <f aca="false">IF(MONTH(A74)=1,YEAR(A74),"")</f>
        <v>2024</v>
      </c>
    </row>
    <row r="75" customFormat="false" ht="15" hidden="false" customHeight="false" outlineLevel="0" collapsed="false">
      <c r="A75" s="19" t="n">
        <f aca="false">Prices!A63</f>
        <v>45323</v>
      </c>
      <c r="B75" s="20" t="n">
        <f aca="false">INDEX(Prices!$B$63:$P$63,MATCH($B$3,Prices!$B$1:$P$1,0))</f>
        <v>2674.75</v>
      </c>
      <c r="C75" s="21" t="n">
        <f aca="false">B75/$B$5*100</f>
        <v>248.156051398618</v>
      </c>
      <c r="D75" s="22" t="str">
        <f aca="false">IF(MONTH(A75)=1,YEAR(A75),"")</f>
        <v/>
      </c>
    </row>
    <row r="76" customFormat="false" ht="15" hidden="false" customHeight="false" outlineLevel="0" collapsed="false">
      <c r="A76" s="19" t="n">
        <f aca="false">Prices!A64</f>
        <v>45352</v>
      </c>
      <c r="B76" s="20" t="n">
        <f aca="false">INDEX(Prices!$B$64:$P$64,MATCH($B$3,Prices!$B$1:$P$1,0))</f>
        <v>2929.43</v>
      </c>
      <c r="C76" s="21" t="n">
        <f aca="false">B76/$B$5*100</f>
        <v>271.784571136986</v>
      </c>
      <c r="D76" s="22" t="str">
        <f aca="false">IF(MONTH(A76)=1,YEAR(A76),"")</f>
        <v/>
      </c>
    </row>
    <row r="77" customFormat="false" ht="15" hidden="false" customHeight="false" outlineLevel="0" collapsed="false">
      <c r="A77" s="19" t="n">
        <f aca="false">Prices!A65</f>
        <v>45383</v>
      </c>
      <c r="B77" s="20" t="n">
        <f aca="false">INDEX(Prices!$B$65:$P$65,MATCH($B$3,Prices!$B$1:$P$1,0))</f>
        <v>2962.37</v>
      </c>
      <c r="C77" s="21" t="n">
        <f aca="false">B77/$B$5*100</f>
        <v>274.840655007654</v>
      </c>
      <c r="D77" s="22" t="str">
        <f aca="false">IF(MONTH(A77)=1,YEAR(A77),"")</f>
        <v/>
      </c>
    </row>
    <row r="78" customFormat="false" ht="15" hidden="false" customHeight="false" outlineLevel="0" collapsed="false">
      <c r="A78" s="19" t="n">
        <f aca="false">Prices!A66</f>
        <v>45413</v>
      </c>
      <c r="B78" s="20" t="n">
        <f aca="false">INDEX(Prices!$B$66:$P$66,MATCH($B$3,Prices!$B$1:$P$1,0))</f>
        <v>3240.98</v>
      </c>
      <c r="C78" s="21" t="n">
        <f aca="false">B78/$B$5*100</f>
        <v>300.689335250731</v>
      </c>
      <c r="D78" s="22" t="str">
        <f aca="false">IF(MONTH(A78)=1,YEAR(A78),"")</f>
        <v/>
      </c>
    </row>
    <row r="79" customFormat="false" ht="15" hidden="false" customHeight="false" outlineLevel="0" collapsed="false">
      <c r="A79" s="19" t="n">
        <f aca="false">Prices!A67</f>
        <v>45444</v>
      </c>
      <c r="B79" s="20" t="n">
        <f aca="false">INDEX(Prices!$B$67:$P$67,MATCH($B$3,Prices!$B$1:$P$1,0))</f>
        <v>4008.99</v>
      </c>
      <c r="C79" s="21" t="n">
        <f aca="false">B79/$B$5*100</f>
        <v>371.943220299671</v>
      </c>
      <c r="D79" s="22" t="str">
        <f aca="false">IF(MONTH(A79)=1,YEAR(A79),"")</f>
        <v/>
      </c>
    </row>
    <row r="80" customFormat="false" ht="15" hidden="false" customHeight="false" outlineLevel="0" collapsed="false">
      <c r="A80" s="19" t="n">
        <f aca="false">Prices!A68</f>
        <v>45474</v>
      </c>
      <c r="B80" s="20" t="n">
        <f aca="false">INDEX(Prices!$B$68:$P$68,MATCH($B$3,Prices!$B$1:$P$1,0))</f>
        <v>4254.76</v>
      </c>
      <c r="C80" s="21" t="n">
        <f aca="false">B80/$B$5*100</f>
        <v>394.745094400891</v>
      </c>
      <c r="D80" s="22" t="str">
        <f aca="false">IF(MONTH(A80)=1,YEAR(A80),"")</f>
        <v/>
      </c>
    </row>
    <row r="81" customFormat="false" ht="15" hidden="false" customHeight="false" outlineLevel="0" collapsed="false">
      <c r="A81" s="19" t="n">
        <f aca="false">Prices!A69</f>
        <v>45505</v>
      </c>
      <c r="B81" s="20" t="n">
        <f aca="false">INDEX(Prices!$B$69:$P$69,MATCH($B$3,Prices!$B$1:$P$1,0))</f>
        <v>4523.11</v>
      </c>
      <c r="C81" s="21" t="n">
        <f aca="false">B81/$B$5*100</f>
        <v>419.641879667857</v>
      </c>
      <c r="D81" s="22" t="str">
        <f aca="false">IF(MONTH(A81)=1,YEAR(A81),"")</f>
        <v/>
      </c>
    </row>
    <row r="82" customFormat="false" ht="15" hidden="false" customHeight="false" outlineLevel="0" collapsed="false">
      <c r="A82" s="19" t="n">
        <f aca="false">Prices!A70</f>
        <v>45536</v>
      </c>
      <c r="B82" s="20" t="n">
        <f aca="false">INDEX(Prices!$B$70:$P$70,MATCH($B$3,Prices!$B$1:$P$1,0))</f>
        <v>4596.67</v>
      </c>
      <c r="C82" s="21" t="n">
        <f aca="false">B82/$B$5*100</f>
        <v>426.466576981955</v>
      </c>
      <c r="D82" s="22" t="str">
        <f aca="false">IF(MONTH(A82)=1,YEAR(A82),"")</f>
        <v/>
      </c>
    </row>
    <row r="83" customFormat="false" ht="15" hidden="false" customHeight="false" outlineLevel="0" collapsed="false">
      <c r="A83" s="19" t="n">
        <f aca="false">Prices!A71</f>
        <v>45566</v>
      </c>
      <c r="B83" s="20" t="n">
        <f aca="false">INDEX(Prices!$B$71:$P$71,MATCH($B$3,Prices!$B$1:$P$1,0))</f>
        <v>3860.23</v>
      </c>
      <c r="C83" s="21" t="n">
        <f aca="false">B83/$B$5*100</f>
        <v>358.141670918959</v>
      </c>
      <c r="D83" s="22" t="str">
        <f aca="false">IF(MONTH(A83)=1,YEAR(A83),"")</f>
        <v/>
      </c>
    </row>
    <row r="84" customFormat="false" ht="15" hidden="false" customHeight="false" outlineLevel="0" collapsed="false">
      <c r="A84" s="19" t="n">
        <f aca="false">Prices!A72</f>
        <v>45597</v>
      </c>
      <c r="B84" s="20" t="n">
        <f aca="false">INDEX(Prices!$B$72:$P$72,MATCH($B$3,Prices!$B$1:$P$1,0))</f>
        <v>3772.79</v>
      </c>
      <c r="C84" s="21" t="n">
        <f aca="false">B84/$B$5*100</f>
        <v>350.029224845758</v>
      </c>
      <c r="D84" s="22" t="str">
        <f aca="false">IF(MONTH(A84)=1,YEAR(A84),"")</f>
        <v/>
      </c>
    </row>
    <row r="85" customFormat="false" ht="15" hidden="false" customHeight="false" outlineLevel="0" collapsed="false">
      <c r="A85" s="19" t="n">
        <f aca="false">Prices!A73</f>
        <v>45627</v>
      </c>
      <c r="B85" s="20" t="n">
        <f aca="false">INDEX(Prices!$B$73:$P$73,MATCH($B$3,Prices!$B$1:$P$1,0))</f>
        <v>3553.2</v>
      </c>
      <c r="C85" s="21" t="n">
        <f aca="false">B85/$B$5*100</f>
        <v>329.656260147516</v>
      </c>
      <c r="D85" s="22" t="str">
        <f aca="false">IF(MONTH(A85)=1,YEAR(A85),"")</f>
        <v/>
      </c>
    </row>
    <row r="86" customFormat="false" ht="15" hidden="false" customHeight="false" outlineLevel="0" collapsed="false">
      <c r="A86" s="19" t="n">
        <f aca="false">Prices!A74</f>
        <v>45658</v>
      </c>
      <c r="B86" s="20" t="n">
        <f aca="false">INDEX(Prices!$B$74:$P$74,MATCH($B$3,Prices!$B$1:$P$1,0))</f>
        <v>3548.9</v>
      </c>
      <c r="C86" s="21" t="n">
        <f aca="false">B86/$B$5*100</f>
        <v>329.257317808601</v>
      </c>
      <c r="D86" s="22" t="n">
        <f aca="false">IF(MONTH(A86)=1,YEAR(A86),"")</f>
        <v>2025</v>
      </c>
    </row>
    <row r="87" customFormat="false" ht="15" hidden="false" customHeight="false" outlineLevel="0" collapsed="false">
      <c r="A87" s="19" t="n">
        <f aca="false">Prices!A75</f>
        <v>45689</v>
      </c>
      <c r="B87" s="20" t="n">
        <f aca="false">INDEX(Prices!$B$75:$P$75,MATCH($B$3,Prices!$B$1:$P$1,0))</f>
        <v>3495.55</v>
      </c>
      <c r="C87" s="21" t="n">
        <f aca="false">B87/$B$5*100</f>
        <v>324.307649487406</v>
      </c>
      <c r="D87" s="22" t="str">
        <f aca="false">IF(MONTH(A87)=1,YEAR(A87),"")</f>
        <v/>
      </c>
    </row>
    <row r="88" customFormat="false" ht="15" hidden="false" customHeight="false" outlineLevel="0" collapsed="false">
      <c r="A88" s="19" t="n">
        <f aca="false">Prices!A76</f>
        <v>45717</v>
      </c>
      <c r="B88" s="20" t="n">
        <f aca="false">INDEX(Prices!$B$76:$P$76,MATCH($B$3,Prices!$B$1:$P$1,0))</f>
        <v>3240.57</v>
      </c>
      <c r="C88" s="21" t="n">
        <f aca="false">B88/$B$5*100</f>
        <v>300.651296562602</v>
      </c>
      <c r="D88" s="22" t="str">
        <f aca="false">IF(MONTH(A88)=1,YEAR(A88),"")</f>
        <v/>
      </c>
    </row>
    <row r="89" customFormat="false" ht="15" hidden="false" customHeight="false" outlineLevel="0" collapsed="false">
      <c r="A89" s="19" t="n">
        <f aca="false">Prices!A77</f>
        <v>45748</v>
      </c>
      <c r="B89" s="20" t="n">
        <f aca="false">INDEX(Prices!$B$77:$P$77,MATCH($B$3,Prices!$B$1:$P$1,0))</f>
        <v>3003.84</v>
      </c>
      <c r="C89" s="21" t="n">
        <f aca="false">B89/$B$5*100</f>
        <v>278.688129145985</v>
      </c>
      <c r="D89" s="22" t="str">
        <f aca="false">IF(MONTH(A89)=1,YEAR(A89),"")</f>
        <v/>
      </c>
    </row>
    <row r="90" customFormat="false" ht="15" hidden="false" customHeight="false" outlineLevel="0" collapsed="false">
      <c r="A90" s="19" t="n">
        <f aca="false">Prices!A78</f>
        <v>45778</v>
      </c>
      <c r="B90" s="20" t="n">
        <f aca="false">INDEX(Prices!$B$78:$P$78,MATCH($B$3,Prices!$B$1:$P$1,0))</f>
        <v>3147.84</v>
      </c>
      <c r="C90" s="21" t="n">
        <f aca="false">B90/$B$5*100</f>
        <v>292.048058635246</v>
      </c>
      <c r="D90" s="22" t="str">
        <f aca="false">IF(MONTH(A90)=1,YEAR(A90),"")</f>
        <v/>
      </c>
    </row>
    <row r="91" customFormat="false" ht="15" hidden="false" customHeight="false" outlineLevel="0" collapsed="false">
      <c r="A91" s="19" t="n">
        <f aca="false">Prices!A79</f>
        <v>45809</v>
      </c>
      <c r="B91" s="20" t="n">
        <f aca="false">INDEX(Prices!$B$79:$P$79,MATCH($B$3,Prices!$B$1:$P$1,0))</f>
        <v>2987.99</v>
      </c>
      <c r="C91" s="21" t="n">
        <f aca="false">B91/$B$5*100</f>
        <v>277.217609129285</v>
      </c>
      <c r="D91" s="22" t="str">
        <f aca="false">IF(MONTH(A91)=1,YEAR(A91),"")</f>
        <v/>
      </c>
    </row>
    <row r="92" customFormat="false" ht="15" hidden="false" customHeight="false" outlineLevel="0" collapsed="false">
      <c r="A92" s="19" t="n">
        <f aca="false">Prices!A80</f>
        <v>45839</v>
      </c>
      <c r="B92" s="20" t="n">
        <f aca="false">INDEX(Prices!$B$80:$P$80,MATCH($B$3,Prices!$B$1:$P$1,0))</f>
        <v>2635.35</v>
      </c>
      <c r="C92" s="21" t="n">
        <f aca="false">B92/$B$5*100</f>
        <v>244.500626246695</v>
      </c>
      <c r="D92" s="22" t="str">
        <f aca="false">IF(MONTH(A92)=1,YEAR(A92),"")</f>
        <v/>
      </c>
    </row>
    <row r="93" customFormat="false" ht="15" hidden="false" customHeight="false" outlineLevel="0" collapsed="false">
      <c r="A93" s="19" t="n">
        <f aca="false">Prices!A81</f>
        <v>45870</v>
      </c>
      <c r="B93" s="20" t="n">
        <f aca="false">INDEX(Prices!$B$81:$P$81,MATCH($B$3,Prices!$B$1:$P$1,0))</f>
        <v>2488.58</v>
      </c>
      <c r="C93" s="21" t="n">
        <f aca="false">B93/$B$5*100</f>
        <v>230.883703669342</v>
      </c>
      <c r="D93" s="22" t="str">
        <f aca="false">IF(MONTH(A93)=1,YEAR(A93),"")</f>
        <v/>
      </c>
    </row>
    <row r="94" customFormat="false" ht="15" hidden="false" customHeight="false" outlineLevel="0" collapsed="false">
      <c r="A94" s="19" t="n">
        <f aca="false">Prices!A82</f>
        <v>45901</v>
      </c>
      <c r="B94" s="20" t="n">
        <f aca="false">INDEX(Prices!$B$82:$P$82,MATCH($B$3,Prices!$B$1:$P$1,0))</f>
        <v>2310.77</v>
      </c>
      <c r="C94" s="21" t="n">
        <f aca="false">B94/$B$5*100</f>
        <v>214.386974068748</v>
      </c>
      <c r="D94" s="22" t="str">
        <f aca="false">IF(MONTH(A94)=1,YEAR(A94),"")</f>
        <v/>
      </c>
    </row>
    <row r="95" customFormat="false" ht="15" hidden="false" customHeight="false" outlineLevel="0" collapsed="false">
      <c r="A95" s="19" t="n">
        <f aca="false">Prices!A83</f>
        <v>45931</v>
      </c>
      <c r="B95" s="20" t="n">
        <f aca="false">INDEX(Prices!$B$83:$P$83,MATCH($B$3,Prices!$B$1:$P$1,0))</f>
        <v>2322.77</v>
      </c>
      <c r="C95" s="21" t="n">
        <f aca="false">B95/$B$5*100</f>
        <v>215.500301526186</v>
      </c>
      <c r="D95" s="22" t="str">
        <f aca="false">IF(MONTH(A95)=1,YEAR(A95),"")</f>
        <v/>
      </c>
    </row>
    <row r="96" customFormat="false" ht="15" hidden="false" customHeight="false" outlineLevel="0" collapsed="false">
      <c r="A96" s="19" t="n">
        <f aca="false">Prices!A84</f>
        <v>45962</v>
      </c>
      <c r="B96" s="20" t="n">
        <f aca="false">INDEX(Prices!$B$84:$P$84,MATCH($B$3,Prices!$B$1:$P$1,0))</f>
        <v>2118.83</v>
      </c>
      <c r="C96" s="21" t="n">
        <f aca="false">B96/$B$5*100</f>
        <v>196.57930138702</v>
      </c>
      <c r="D96" s="22" t="str">
        <f aca="false">IF(MONTH(A96)=1,YEAR(A96),"")</f>
        <v/>
      </c>
    </row>
    <row r="97" customFormat="false" ht="15" hidden="false" customHeight="false" outlineLevel="0" collapsed="false">
      <c r="A97" s="19" t="n">
        <f aca="false">Prices!A85</f>
        <v>45992</v>
      </c>
      <c r="B97" s="20" t="n">
        <f aca="false">INDEX(Prices!$B$85:$P$85,MATCH($B$3,Prices!$B$1:$P$1,0))</f>
        <v>1908.9</v>
      </c>
      <c r="C97" s="21" t="n">
        <f aca="false">B97/$B$5*100</f>
        <v>177.102565292017</v>
      </c>
      <c r="D97" s="22" t="str">
        <f aca="false">IF(MONTH(A97)=1,YEAR(A97),"")</f>
        <v/>
      </c>
    </row>
    <row r="98" customFormat="false" ht="15" hidden="false" customHeight="false" outlineLevel="0" collapsed="false">
      <c r="A98" s="19" t="n">
        <f aca="false">Prices!A86</f>
        <v>46023</v>
      </c>
      <c r="B98" s="20" t="n">
        <f aca="false">INDEX(Prices!$B$86:$P$86,MATCH($B$3,Prices!$B$1:$P$1,0))</f>
        <v>1884.72</v>
      </c>
      <c r="C98" s="21" t="n">
        <f aca="false">B98/$B$5*100</f>
        <v>174.859210465278</v>
      </c>
      <c r="D98" s="22" t="n">
        <f aca="false">IF(MONTH(A98)=1,YEAR(A98),"")</f>
        <v>2026</v>
      </c>
    </row>
    <row r="99" customFormat="false" ht="15" hidden="false" customHeight="false" outlineLevel="0" collapsed="false">
      <c r="A99" s="19" t="n">
        <f aca="false">Prices!A87</f>
        <v>46054</v>
      </c>
      <c r="B99" s="20" t="n">
        <f aca="false">INDEX(Prices!$B$87:$P$87,MATCH($B$3,Prices!$B$1:$P$1,0))</f>
        <v>1819.31</v>
      </c>
      <c r="C99" s="21" t="n">
        <f aca="false">B99/$B$5*100</f>
        <v>168.790648049358</v>
      </c>
      <c r="D99" s="22" t="str">
        <f aca="false">IF(MONTH(A99)=1,YEAR(A99),"")</f>
        <v/>
      </c>
    </row>
    <row r="100" customFormat="false" ht="15" hidden="false" customHeight="false" outlineLevel="0" collapsed="false">
      <c r="A100" s="19" t="n">
        <f aca="false">Prices!A88</f>
        <v>46082</v>
      </c>
      <c r="B100" s="20" t="n">
        <f aca="false">INDEX(Prices!$B$88:$P$88,MATCH($B$3,Prices!$B$1:$P$1,0))</f>
        <v>2073.43</v>
      </c>
      <c r="C100" s="21" t="n">
        <f aca="false">B100/$B$5*100</f>
        <v>192.367212506378</v>
      </c>
      <c r="D100" s="22" t="str">
        <f aca="false">IF(MONTH(A100)=1,YEAR(A100),"")</f>
        <v/>
      </c>
    </row>
    <row r="101" customFormat="false" ht="15" hidden="false" customHeight="false" outlineLevel="0" collapsed="false">
      <c r="A101" s="19" t="n">
        <f aca="false">Prices!A89</f>
        <v>46113</v>
      </c>
      <c r="B101" s="20" t="n">
        <f aca="false">INDEX(Prices!$B$89:$P$89,MATCH($B$3,Prices!$B$1:$P$1,0))</f>
        <v>2116.96</v>
      </c>
      <c r="C101" s="21" t="n">
        <f aca="false">B101/$B$5*100</f>
        <v>196.405807858236</v>
      </c>
      <c r="D101" s="22" t="str">
        <f aca="false">IF(MONTH(A101)=1,YEAR(A101),"")</f>
        <v/>
      </c>
    </row>
    <row r="102" customFormat="false" ht="15" hidden="false" customHeight="false" outlineLevel="0" collapsed="false">
      <c r="A102" s="19" t="n">
        <f aca="false">Prices!A90</f>
        <v>46143</v>
      </c>
      <c r="B102" s="20" t="n">
        <f aca="false">INDEX(Prices!$B$90:$P$90,MATCH($B$3,Prices!$B$1:$P$1,0))</f>
        <v>2241.3</v>
      </c>
      <c r="C102" s="21" t="n">
        <f aca="false">B102/$B$5*100</f>
        <v>207.941735863061</v>
      </c>
      <c r="D102" s="22" t="str">
        <f aca="false">IF(MONTH(A102)=1,YEAR(A102),"")</f>
        <v/>
      </c>
    </row>
    <row r="103" customFormat="false" ht="15" hidden="false" customHeight="false" outlineLevel="0" collapsed="false">
      <c r="A103" s="19" t="n">
        <f aca="false">Prices!A91</f>
        <v>46174</v>
      </c>
      <c r="B103" s="20" t="n">
        <f aca="false">INDEX(Prices!$B$91:$P$91,MATCH($B$3,Prices!$B$1:$P$1,0))</f>
        <v>2290.65</v>
      </c>
      <c r="C103" s="21" t="n">
        <f aca="false">B103/$B$5*100</f>
        <v>212.520295031776</v>
      </c>
      <c r="D103" s="22" t="str">
        <f aca="false">IF(MONTH(A103)=1,YEAR(A103),"")</f>
        <v/>
      </c>
    </row>
    <row r="104" customFormat="false" ht="15" hidden="false" customHeight="false" outlineLevel="0" collapsed="false">
      <c r="A104" s="19" t="n">
        <f aca="false">Prices!A92</f>
        <v>46204</v>
      </c>
      <c r="B104" s="20" t="n">
        <f aca="false">INDEX(Prices!$B$92:$P$92,MATCH($B$3,Prices!$B$1:$P$1,0))</f>
        <v>2276.95</v>
      </c>
      <c r="C104" s="21" t="n">
        <f aca="false">B104/$B$5*100</f>
        <v>211.249246184534</v>
      </c>
      <c r="D104" s="22" t="str">
        <f aca="false">IF(MONTH(A104)=1,YEAR(A104),"")</f>
        <v/>
      </c>
    </row>
  </sheetData>
  <dataValidations count="1">
    <dataValidation allowBlank="false" error="Pick a food from the list." errorStyle="stop" errorTitle="Not on the list" operator="between" showDropDown="false" showErrorMessage="false" showInputMessage="false" sqref="B3" type="list">
      <formula1>'Peak to now'!$A$5:$A$19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9" t="s">
        <v>36</v>
      </c>
    </row>
    <row r="2" customFormat="false" ht="15" hidden="false" customHeight="false" outlineLevel="0" collapsed="false">
      <c r="A2" s="12" t="s">
        <v>37</v>
      </c>
    </row>
    <row r="4" customFormat="false" ht="30" hidden="false" customHeight="true" outlineLevel="0" collapsed="false">
      <c r="A4" s="17" t="s">
        <v>23</v>
      </c>
      <c r="B4" s="18" t="s">
        <v>26</v>
      </c>
      <c r="C4" s="18" t="s">
        <v>27</v>
      </c>
      <c r="D4" s="18" t="s">
        <v>28</v>
      </c>
      <c r="E4" s="18" t="s">
        <v>29</v>
      </c>
      <c r="F4" s="18" t="s">
        <v>38</v>
      </c>
      <c r="G4" s="18" t="s">
        <v>30</v>
      </c>
      <c r="H4" s="18" t="s">
        <v>31</v>
      </c>
    </row>
    <row r="5" customFormat="false" ht="15" hidden="false" customHeight="false" outlineLevel="0" collapsed="false">
      <c r="A5" s="23" t="s">
        <v>24</v>
      </c>
      <c r="B5" s="24" t="n">
        <f aca="false">INDEX(Prices!$B$50:$P$92,1,MATCH($A5,Prices!$B$1:$P$1,0))</f>
        <v>1077.85</v>
      </c>
      <c r="C5" s="24" t="n">
        <f aca="false">MAX(INDEX(Prices!$B$50:$P$92,0,MATCH($A5,Prices!$B$1:$P$1,0)))</f>
        <v>4596.67</v>
      </c>
      <c r="D5" s="25" t="n">
        <f aca="false">INDEX(Prices!$A$50:$A$92,MATCH(C5,INDEX(Prices!$B$50:$P$92,0,MATCH($A5,Prices!$B$1:$P$1,0)),0))</f>
        <v>45536</v>
      </c>
      <c r="E5" s="24" t="n">
        <f aca="false">INDEX(Prices!$B$50:$P$92,ROWS(Prices!$A$50:$A$92),MATCH($A5,Prices!$B$1:$P$1,0))</f>
        <v>2276.95</v>
      </c>
      <c r="F5" s="26" t="n">
        <f aca="false">C5/B5-1</f>
        <v>3.26466576981955</v>
      </c>
      <c r="G5" s="26" t="n">
        <f aca="false">E5/C5-1</f>
        <v>-0.504652280890297</v>
      </c>
      <c r="H5" s="26" t="n">
        <f aca="false">E5/B5-1</f>
        <v>1.11249246184534</v>
      </c>
    </row>
    <row r="6" customFormat="false" ht="15" hidden="false" customHeight="false" outlineLevel="0" collapsed="false">
      <c r="A6" s="23" t="s">
        <v>39</v>
      </c>
      <c r="B6" s="24" t="n">
        <f aca="false">INDEX(Prices!$B$50:$P$92,1,MATCH($A6,Prices!$B$1:$P$1,0))</f>
        <v>424.8</v>
      </c>
      <c r="C6" s="24" t="n">
        <f aca="false">MAX(INDEX(Prices!$B$50:$P$92,0,MATCH($A6,Prices!$B$1:$P$1,0)))</f>
        <v>1524.34</v>
      </c>
      <c r="D6" s="25" t="n">
        <f aca="false">INDEX(Prices!$A$50:$A$92,MATCH(C6,INDEX(Prices!$B$50:$P$92,0,MATCH($A6,Prices!$B$1:$P$1,0)),0))</f>
        <v>45839</v>
      </c>
      <c r="E6" s="24" t="n">
        <f aca="false">INDEX(Prices!$B$50:$P$92,ROWS(Prices!$A$50:$A$92),MATCH($A6,Prices!$B$1:$P$1,0))</f>
        <v>829.65</v>
      </c>
      <c r="F6" s="26" t="n">
        <f aca="false">C6/B6-1</f>
        <v>2.58837099811676</v>
      </c>
      <c r="G6" s="26" t="n">
        <f aca="false">E6/C6-1</f>
        <v>-0.455731660915544</v>
      </c>
      <c r="H6" s="26" t="n">
        <f aca="false">E6/B6-1</f>
        <v>0.953036723163842</v>
      </c>
    </row>
    <row r="7" customFormat="false" ht="15" hidden="false" customHeight="false" outlineLevel="0" collapsed="false">
      <c r="A7" s="23" t="s">
        <v>40</v>
      </c>
      <c r="B7" s="24" t="n">
        <f aca="false">INDEX(Prices!$B$50:$P$92,1,MATCH($A7,Prices!$B$1:$P$1,0))</f>
        <v>288.25</v>
      </c>
      <c r="C7" s="24" t="n">
        <f aca="false">MAX(INDEX(Prices!$B$50:$P$92,0,MATCH($A7,Prices!$B$1:$P$1,0)))</f>
        <v>954.01</v>
      </c>
      <c r="D7" s="25" t="n">
        <f aca="false">INDEX(Prices!$A$50:$A$92,MATCH(C7,INDEX(Prices!$B$50:$P$92,0,MATCH($A7,Prices!$B$1:$P$1,0)),0))</f>
        <v>45505</v>
      </c>
      <c r="E7" s="24" t="n">
        <f aca="false">INDEX(Prices!$B$50:$P$92,ROWS(Prices!$A$50:$A$92),MATCH($A7,Prices!$B$1:$P$1,0))</f>
        <v>523.84</v>
      </c>
      <c r="F7" s="26" t="n">
        <f aca="false">C7/B7-1</f>
        <v>2.30966175195143</v>
      </c>
      <c r="G7" s="26" t="n">
        <f aca="false">E7/C7-1</f>
        <v>-0.450907223194725</v>
      </c>
      <c r="H7" s="26" t="n">
        <f aca="false">E7/B7-1</f>
        <v>0.817311361665221</v>
      </c>
    </row>
    <row r="8" customFormat="false" ht="15" hidden="false" customHeight="false" outlineLevel="0" collapsed="false">
      <c r="A8" s="23" t="s">
        <v>41</v>
      </c>
      <c r="B8" s="24" t="n">
        <f aca="false">INDEX(Prices!$B$50:$P$92,1,MATCH($A8,Prices!$B$1:$P$1,0))</f>
        <v>924</v>
      </c>
      <c r="C8" s="24" t="n">
        <f aca="false">MAX(INDEX(Prices!$B$50:$P$92,0,MATCH($A8,Prices!$B$1:$P$1,0)))</f>
        <v>2680.69</v>
      </c>
      <c r="D8" s="25" t="n">
        <f aca="false">INDEX(Prices!$A$50:$A$92,MATCH(C8,INDEX(Prices!$B$50:$P$92,0,MATCH($A8,Prices!$B$1:$P$1,0)),0))</f>
        <v>45505</v>
      </c>
      <c r="E8" s="24" t="n">
        <f aca="false">INDEX(Prices!$B$50:$P$92,ROWS(Prices!$A$50:$A$92),MATCH($A8,Prices!$B$1:$P$1,0))</f>
        <v>1568.17</v>
      </c>
      <c r="F8" s="26" t="n">
        <f aca="false">C8/B8-1</f>
        <v>1.90117965367965</v>
      </c>
      <c r="G8" s="26" t="n">
        <f aca="false">E8/C8-1</f>
        <v>-0.415012552738288</v>
      </c>
      <c r="H8" s="26" t="n">
        <f aca="false">E8/B8-1</f>
        <v>0.69715367965368</v>
      </c>
    </row>
    <row r="9" customFormat="false" ht="15" hidden="false" customHeight="false" outlineLevel="0" collapsed="false">
      <c r="A9" s="23" t="s">
        <v>42</v>
      </c>
      <c r="B9" s="24" t="n">
        <f aca="false">INDEX(Prices!$B$50:$P$92,1,MATCH($A9,Prices!$B$1:$P$1,0))</f>
        <v>342.47</v>
      </c>
      <c r="C9" s="24" t="n">
        <f aca="false">MAX(INDEX(Prices!$B$50:$P$92,0,MATCH($A9,Prices!$B$1:$P$1,0)))</f>
        <v>1299.83</v>
      </c>
      <c r="D9" s="25" t="n">
        <f aca="false">INDEX(Prices!$A$50:$A$92,MATCH(C9,INDEX(Prices!$B$50:$P$92,0,MATCH($A9,Prices!$B$1:$P$1,0)),0))</f>
        <v>45717</v>
      </c>
      <c r="E9" s="24" t="n">
        <f aca="false">INDEX(Prices!$B$50:$P$92,ROWS(Prices!$A$50:$A$92),MATCH($A9,Prices!$B$1:$P$1,0))</f>
        <v>826.79</v>
      </c>
      <c r="F9" s="26" t="n">
        <f aca="false">C9/B9-1</f>
        <v>2.79545653633895</v>
      </c>
      <c r="G9" s="26" t="n">
        <f aca="false">E9/C9-1</f>
        <v>-0.363924513205573</v>
      </c>
      <c r="H9" s="26" t="n">
        <f aca="false">E9/B9-1</f>
        <v>1.41419686395889</v>
      </c>
    </row>
    <row r="10" customFormat="false" ht="15" hidden="false" customHeight="false" outlineLevel="0" collapsed="false">
      <c r="A10" s="23" t="s">
        <v>43</v>
      </c>
      <c r="B10" s="24" t="n">
        <f aca="false">INDEX(Prices!$B$50:$P$92,1,MATCH($A10,Prices!$B$1:$P$1,0))</f>
        <v>792.75</v>
      </c>
      <c r="C10" s="24" t="n">
        <f aca="false">MAX(INDEX(Prices!$B$50:$P$92,0,MATCH($A10,Prices!$B$1:$P$1,0)))</f>
        <v>2333.82</v>
      </c>
      <c r="D10" s="25" t="n">
        <f aca="false">INDEX(Prices!$A$50:$A$92,MATCH(C10,INDEX(Prices!$B$50:$P$92,0,MATCH($A10,Prices!$B$1:$P$1,0)),0))</f>
        <v>45474</v>
      </c>
      <c r="E10" s="24" t="n">
        <f aca="false">INDEX(Prices!$B$50:$P$92,ROWS(Prices!$A$50:$A$92),MATCH($A10,Prices!$B$1:$P$1,0))</f>
        <v>1554.01</v>
      </c>
      <c r="F10" s="26" t="n">
        <f aca="false">C10/B10-1</f>
        <v>1.9439545884579</v>
      </c>
      <c r="G10" s="26" t="n">
        <f aca="false">E10/C10-1</f>
        <v>-0.334134594784516</v>
      </c>
      <c r="H10" s="26" t="n">
        <f aca="false">E10/B10-1</f>
        <v>0.960277514979502</v>
      </c>
    </row>
    <row r="11" customFormat="false" ht="15" hidden="false" customHeight="false" outlineLevel="0" collapsed="false">
      <c r="A11" s="23" t="s">
        <v>44</v>
      </c>
      <c r="B11" s="24" t="n">
        <f aca="false">INDEX(Prices!$B$50:$P$92,1,MATCH($A11,Prices!$B$1:$P$1,0))</f>
        <v>368.95</v>
      </c>
      <c r="C11" s="24" t="n">
        <f aca="false">MAX(INDEX(Prices!$B$50:$P$92,0,MATCH($A11,Prices!$B$1:$P$1,0)))</f>
        <v>1679.31</v>
      </c>
      <c r="D11" s="25" t="n">
        <f aca="false">INDEX(Prices!$A$50:$A$92,MATCH(C11,INDEX(Prices!$B$50:$P$92,0,MATCH($A11,Prices!$B$1:$P$1,0)),0))</f>
        <v>45992</v>
      </c>
      <c r="E11" s="24" t="n">
        <f aca="false">INDEX(Prices!$B$50:$P$92,ROWS(Prices!$A$50:$A$92),MATCH($A11,Prices!$B$1:$P$1,0))</f>
        <v>1129.57</v>
      </c>
      <c r="F11" s="26" t="n">
        <f aca="false">C11/B11-1</f>
        <v>3.5515923566879</v>
      </c>
      <c r="G11" s="26" t="n">
        <f aca="false">E11/C11-1</f>
        <v>-0.32736064216851</v>
      </c>
      <c r="H11" s="26" t="n">
        <f aca="false">E11/B11-1</f>
        <v>2.06158015991327</v>
      </c>
    </row>
    <row r="12" customFormat="false" ht="15" hidden="false" customHeight="false" outlineLevel="0" collapsed="false">
      <c r="A12" s="23" t="s">
        <v>45</v>
      </c>
      <c r="B12" s="24" t="n">
        <f aca="false">INDEX(Prices!$B$50:$P$92,1,MATCH($A12,Prices!$B$1:$P$1,0))</f>
        <v>832.12</v>
      </c>
      <c r="C12" s="24" t="n">
        <f aca="false">MAX(INDEX(Prices!$B$50:$P$92,0,MATCH($A12,Prices!$B$1:$P$1,0)))</f>
        <v>2878.52</v>
      </c>
      <c r="D12" s="25" t="n">
        <f aca="false">INDEX(Prices!$A$50:$A$92,MATCH(C12,INDEX(Prices!$B$50:$P$92,0,MATCH($A12,Prices!$B$1:$P$1,0)),0))</f>
        <v>45717</v>
      </c>
      <c r="E12" s="24" t="n">
        <f aca="false">INDEX(Prices!$B$50:$P$92,ROWS(Prices!$A$50:$A$92),MATCH($A12,Prices!$B$1:$P$1,0))</f>
        <v>2200.03</v>
      </c>
      <c r="F12" s="26" t="n">
        <f aca="false">C12/B12-1</f>
        <v>2.45926068355526</v>
      </c>
      <c r="G12" s="26" t="n">
        <f aca="false">E12/C12-1</f>
        <v>-0.235707933243472</v>
      </c>
      <c r="H12" s="26" t="n">
        <f aca="false">E12/B12-1</f>
        <v>1.64388549728405</v>
      </c>
    </row>
    <row r="13" customFormat="false" ht="15" hidden="false" customHeight="false" outlineLevel="0" collapsed="false">
      <c r="A13" s="23" t="s">
        <v>46</v>
      </c>
      <c r="B13" s="24" t="n">
        <f aca="false">INDEX(Prices!$B$50:$P$92,1,MATCH($A13,Prices!$B$1:$P$1,0))</f>
        <v>1168.88</v>
      </c>
      <c r="C13" s="24" t="n">
        <f aca="false">MAX(INDEX(Prices!$B$50:$P$92,0,MATCH($A13,Prices!$B$1:$P$1,0)))</f>
        <v>3872.47</v>
      </c>
      <c r="D13" s="25" t="n">
        <f aca="false">INDEX(Prices!$A$50:$A$92,MATCH(C13,INDEX(Prices!$B$50:$P$92,0,MATCH($A13,Prices!$B$1:$P$1,0)),0))</f>
        <v>45658</v>
      </c>
      <c r="E13" s="24" t="n">
        <f aca="false">INDEX(Prices!$B$50:$P$92,ROWS(Prices!$A$50:$A$92),MATCH($A13,Prices!$B$1:$P$1,0))</f>
        <v>3127.08</v>
      </c>
      <c r="F13" s="26" t="n">
        <f aca="false">C13/B13-1</f>
        <v>2.31297481349668</v>
      </c>
      <c r="G13" s="26" t="n">
        <f aca="false">E13/C13-1</f>
        <v>-0.192484383352227</v>
      </c>
      <c r="H13" s="26" t="n">
        <f aca="false">E13/B13-1</f>
        <v>1.67527889945931</v>
      </c>
    </row>
    <row r="14" customFormat="false" ht="15" hidden="false" customHeight="false" outlineLevel="0" collapsed="false">
      <c r="A14" s="23" t="s">
        <v>47</v>
      </c>
      <c r="B14" s="24" t="n">
        <f aca="false">INDEX(Prices!$B$50:$P$92,1,MATCH($A14,Prices!$B$1:$P$1,0))</f>
        <v>155.11</v>
      </c>
      <c r="C14" s="24" t="n">
        <f aca="false">MAX(INDEX(Prices!$B$50:$P$92,0,MATCH($A14,Prices!$B$1:$P$1,0)))</f>
        <v>513.49</v>
      </c>
      <c r="D14" s="25" t="n">
        <f aca="false">INDEX(Prices!$A$50:$A$92,MATCH(C14,INDEX(Prices!$B$50:$P$92,0,MATCH($A14,Prices!$B$1:$P$1,0)),0))</f>
        <v>45748</v>
      </c>
      <c r="E14" s="24" t="n">
        <f aca="false">INDEX(Prices!$B$50:$P$92,ROWS(Prices!$A$50:$A$92),MATCH($A14,Prices!$B$1:$P$1,0))</f>
        <v>443.71</v>
      </c>
      <c r="F14" s="26" t="n">
        <f aca="false">C14/B14-1</f>
        <v>2.31048933015279</v>
      </c>
      <c r="G14" s="26" t="n">
        <f aca="false">E14/C14-1</f>
        <v>-0.135893590917058</v>
      </c>
      <c r="H14" s="26" t="n">
        <f aca="false">E14/B14-1</f>
        <v>1.86061504738573</v>
      </c>
    </row>
    <row r="15" customFormat="false" ht="15" hidden="false" customHeight="false" outlineLevel="0" collapsed="false">
      <c r="A15" s="23" t="s">
        <v>48</v>
      </c>
      <c r="B15" s="24" t="n">
        <f aca="false">INDEX(Prices!$B$50:$P$92,1,MATCH($A15,Prices!$B$1:$P$1,0))</f>
        <v>852</v>
      </c>
      <c r="C15" s="24" t="n">
        <f aca="false">MAX(INDEX(Prices!$B$50:$P$92,0,MATCH($A15,Prices!$B$1:$P$1,0)))</f>
        <v>3157.43</v>
      </c>
      <c r="D15" s="25" t="n">
        <f aca="false">INDEX(Prices!$A$50:$A$92,MATCH(C15,INDEX(Prices!$B$50:$P$92,0,MATCH($A15,Prices!$B$1:$P$1,0)),0))</f>
        <v>45717</v>
      </c>
      <c r="E15" s="24" t="n">
        <f aca="false">INDEX(Prices!$B$50:$P$92,ROWS(Prices!$A$50:$A$92),MATCH($A15,Prices!$B$1:$P$1,0))</f>
        <v>2848.58</v>
      </c>
      <c r="F15" s="26" t="n">
        <f aca="false">C15/B15-1</f>
        <v>2.70590375586854</v>
      </c>
      <c r="G15" s="26" t="n">
        <f aca="false">E15/C15-1</f>
        <v>-0.0978168953864377</v>
      </c>
      <c r="H15" s="26" t="n">
        <f aca="false">E15/B15-1</f>
        <v>2.34340375586854</v>
      </c>
    </row>
    <row r="16" customFormat="false" ht="15" hidden="false" customHeight="false" outlineLevel="0" collapsed="false">
      <c r="A16" s="23" t="s">
        <v>49</v>
      </c>
      <c r="B16" s="24" t="n">
        <f aca="false">INDEX(Prices!$B$50:$P$92,1,MATCH($A16,Prices!$B$1:$P$1,0))</f>
        <v>1997.92</v>
      </c>
      <c r="C16" s="24" t="n">
        <f aca="false">MAX(INDEX(Prices!$B$50:$P$92,0,MATCH($A16,Prices!$B$1:$P$1,0)))</f>
        <v>4138.99</v>
      </c>
      <c r="D16" s="25" t="n">
        <f aca="false">INDEX(Prices!$A$50:$A$92,MATCH(C16,INDEX(Prices!$B$50:$P$92,0,MATCH($A16,Prices!$B$1:$P$1,0)),0))</f>
        <v>45809</v>
      </c>
      <c r="E16" s="24" t="n">
        <f aca="false">INDEX(Prices!$B$50:$P$92,ROWS(Prices!$A$50:$A$92),MATCH($A16,Prices!$B$1:$P$1,0))</f>
        <v>3831.91</v>
      </c>
      <c r="F16" s="26" t="n">
        <f aca="false">C16/B16-1</f>
        <v>1.07164951549612</v>
      </c>
      <c r="G16" s="26" t="n">
        <f aca="false">E16/C16-1</f>
        <v>-0.0741920130273327</v>
      </c>
      <c r="H16" s="26" t="n">
        <f aca="false">E16/B16-1</f>
        <v>0.91794966765436</v>
      </c>
    </row>
    <row r="17" customFormat="false" ht="15" hidden="false" customHeight="false" outlineLevel="0" collapsed="false">
      <c r="A17" s="23" t="s">
        <v>50</v>
      </c>
      <c r="B17" s="24" t="n">
        <f aca="false">INDEX(Prices!$B$50:$P$92,1,MATCH($A17,Prices!$B$1:$P$1,0))</f>
        <v>2068.4</v>
      </c>
      <c r="C17" s="24" t="n">
        <f aca="false">MAX(INDEX(Prices!$B$50:$P$92,0,MATCH($A17,Prices!$B$1:$P$1,0)))</f>
        <v>6451.78</v>
      </c>
      <c r="D17" s="25" t="n">
        <f aca="false">INDEX(Prices!$A$50:$A$92,MATCH(C17,INDEX(Prices!$B$50:$P$92,0,MATCH($A17,Prices!$B$1:$P$1,0)),0))</f>
        <v>45839</v>
      </c>
      <c r="E17" s="24" t="n">
        <f aca="false">INDEX(Prices!$B$50:$P$92,ROWS(Prices!$A$50:$A$92),MATCH($A17,Prices!$B$1:$P$1,0))</f>
        <v>5986.92</v>
      </c>
      <c r="F17" s="26" t="n">
        <f aca="false">C17/B17-1</f>
        <v>2.11921291819764</v>
      </c>
      <c r="G17" s="26" t="n">
        <f aca="false">E17/C17-1</f>
        <v>-0.0720514338678627</v>
      </c>
      <c r="H17" s="26" t="n">
        <f aca="false">E17/B17-1</f>
        <v>1.89446915490234</v>
      </c>
    </row>
    <row r="18" customFormat="false" ht="15" hidden="false" customHeight="false" outlineLevel="0" collapsed="false">
      <c r="A18" s="23" t="s">
        <v>51</v>
      </c>
      <c r="B18" s="24" t="n">
        <f aca="false">INDEX(Prices!$B$50:$P$92,1,MATCH($A18,Prices!$B$1:$P$1,0))</f>
        <v>1970.31</v>
      </c>
      <c r="C18" s="24" t="n">
        <f aca="false">MAX(INDEX(Prices!$B$50:$P$92,0,MATCH($A18,Prices!$B$1:$P$1,0)))</f>
        <v>6534.63</v>
      </c>
      <c r="D18" s="25" t="n">
        <f aca="false">INDEX(Prices!$A$50:$A$92,MATCH(C18,INDEX(Prices!$B$50:$P$92,0,MATCH($A18,Prices!$B$1:$P$1,0)),0))</f>
        <v>45839</v>
      </c>
      <c r="E18" s="24" t="n">
        <f aca="false">INDEX(Prices!$B$50:$P$92,ROWS(Prices!$A$50:$A$92),MATCH($A18,Prices!$B$1:$P$1,0))</f>
        <v>6360.79</v>
      </c>
      <c r="F18" s="26" t="n">
        <f aca="false">C18/B18-1</f>
        <v>2.31654917246525</v>
      </c>
      <c r="G18" s="26" t="n">
        <f aca="false">E18/C18-1</f>
        <v>-0.0266028834073238</v>
      </c>
      <c r="H18" s="26" t="n">
        <f aca="false">E18/B18-1</f>
        <v>2.2283194015155</v>
      </c>
    </row>
    <row r="19" customFormat="false" ht="15" hidden="false" customHeight="false" outlineLevel="0" collapsed="false">
      <c r="A19" s="23" t="s">
        <v>52</v>
      </c>
      <c r="B19" s="24" t="n">
        <f aca="false">INDEX(Prices!$B$50:$P$92,1,MATCH($A19,Prices!$B$1:$P$1,0))</f>
        <v>1884.77</v>
      </c>
      <c r="C19" s="24" t="n">
        <f aca="false">MAX(INDEX(Prices!$B$50:$P$92,0,MATCH($A19,Prices!$B$1:$P$1,0)))</f>
        <v>5572.99</v>
      </c>
      <c r="D19" s="25" t="n">
        <f aca="false">INDEX(Prices!$A$50:$A$92,MATCH(C19,INDEX(Prices!$B$50:$P$92,0,MATCH($A19,Prices!$B$1:$P$1,0)),0))</f>
        <v>45839</v>
      </c>
      <c r="E19" s="24" t="n">
        <f aca="false">INDEX(Prices!$B$50:$P$92,ROWS(Prices!$A$50:$A$92),MATCH($A19,Prices!$B$1:$P$1,0))</f>
        <v>5443.59</v>
      </c>
      <c r="F19" s="26" t="n">
        <f aca="false">C19/B19-1</f>
        <v>1.95685415196549</v>
      </c>
      <c r="G19" s="26" t="n">
        <f aca="false">E19/C19-1</f>
        <v>-0.0232191337145768</v>
      </c>
      <c r="H19" s="26" t="n">
        <f aca="false">E19/B19-1</f>
        <v>1.8881985600365</v>
      </c>
    </row>
  </sheetData>
  <conditionalFormatting sqref="G5:G19">
    <cfRule type="colorScale" priority="2">
      <colorScale>
        <cfvo type="min" val="0"/>
        <cfvo type="max" val="0"/>
        <color rgb="FF63BE7B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9" t="s">
        <v>53</v>
      </c>
    </row>
    <row r="2" customFormat="false" ht="15" hidden="false" customHeight="false" outlineLevel="0" collapsed="false">
      <c r="A2" s="12" t="s">
        <v>54</v>
      </c>
    </row>
    <row r="3" customFormat="false" ht="15" hidden="false" customHeight="false" outlineLevel="0" collapsed="false">
      <c r="B3" s="27" t="n">
        <v>44927</v>
      </c>
      <c r="C3" s="27" t="n">
        <v>45717</v>
      </c>
      <c r="D3" s="27" t="n">
        <v>46204</v>
      </c>
    </row>
    <row r="4" customFormat="false" ht="30" hidden="false" customHeight="true" outlineLevel="0" collapsed="false">
      <c r="A4" s="17" t="s">
        <v>55</v>
      </c>
      <c r="B4" s="18" t="s">
        <v>26</v>
      </c>
      <c r="C4" s="18" t="s">
        <v>56</v>
      </c>
      <c r="D4" s="18" t="s">
        <v>29</v>
      </c>
      <c r="E4" s="18" t="s">
        <v>57</v>
      </c>
      <c r="F4" s="18" t="s">
        <v>58</v>
      </c>
    </row>
    <row r="5" customFormat="false" ht="15" hidden="false" customHeight="false" outlineLevel="0" collapsed="false">
      <c r="A5" s="23" t="s">
        <v>59</v>
      </c>
      <c r="B5" s="24" t="n">
        <f aca="false">SUMIFS(Zones!$F:$F,Zones!$A:$A,B$3,Zones!$B:$B,$A5)</f>
        <v>1610.776</v>
      </c>
      <c r="C5" s="24" t="n">
        <f aca="false">SUMIFS(Zones!$F:$F,Zones!$A:$A,C$3,Zones!$B:$B,$A5)</f>
        <v>5299.754</v>
      </c>
      <c r="D5" s="24" t="n">
        <f aca="false">SUMIFS(Zones!$F:$F,Zones!$A:$A,D$3,Zones!$B:$B,$A5)</f>
        <v>4011.102</v>
      </c>
      <c r="E5" s="26" t="n">
        <f aca="false">D5/C5-1</f>
        <v>-0.243153172769906</v>
      </c>
      <c r="F5" s="26" t="n">
        <f aca="false">D5/$D$9-1</f>
        <v>0.250391848063953</v>
      </c>
    </row>
    <row r="6" customFormat="false" ht="15" hidden="false" customHeight="false" outlineLevel="0" collapsed="false">
      <c r="A6" s="23" t="s">
        <v>60</v>
      </c>
      <c r="B6" s="24" t="n">
        <f aca="false">SUMIFS(Zones!$F:$F,Zones!$A:$A,B$3,Zones!$B:$B,$A6)</f>
        <v>1699.992</v>
      </c>
      <c r="C6" s="24" t="n">
        <f aca="false">SUMIFS(Zones!$F:$F,Zones!$A:$A,C$3,Zones!$B:$B,$A6)</f>
        <v>5411.372</v>
      </c>
      <c r="D6" s="24" t="n">
        <f aca="false">SUMIFS(Zones!$F:$F,Zones!$A:$A,D$3,Zones!$B:$B,$A6)</f>
        <v>3971.342</v>
      </c>
      <c r="E6" s="26" t="n">
        <f aca="false">D6/C6-1</f>
        <v>-0.266111810461377</v>
      </c>
      <c r="F6" s="26" t="n">
        <f aca="false">D6/$D$9-1</f>
        <v>0.237997354012437</v>
      </c>
    </row>
    <row r="7" customFormat="false" ht="15" hidden="false" customHeight="false" outlineLevel="0" collapsed="false">
      <c r="A7" s="23" t="s">
        <v>61</v>
      </c>
      <c r="B7" s="24" t="n">
        <f aca="false">SUMIFS(Zones!$F:$F,Zones!$A:$A,B$3,Zones!$B:$B,$A7)</f>
        <v>1427.236</v>
      </c>
      <c r="C7" s="24" t="n">
        <f aca="false">SUMIFS(Zones!$F:$F,Zones!$A:$A,C$3,Zones!$B:$B,$A7)</f>
        <v>5218.65</v>
      </c>
      <c r="D7" s="24" t="n">
        <f aca="false">SUMIFS(Zones!$F:$F,Zones!$A:$A,D$3,Zones!$B:$B,$A7)</f>
        <v>3742.222</v>
      </c>
      <c r="E7" s="26" t="n">
        <f aca="false">D7/C7-1</f>
        <v>-0.282913780383816</v>
      </c>
      <c r="F7" s="26" t="n">
        <f aca="false">D7/$D$9-1</f>
        <v>0.166573146842334</v>
      </c>
    </row>
    <row r="8" customFormat="false" ht="15" hidden="false" customHeight="false" outlineLevel="0" collapsed="false">
      <c r="A8" s="23" t="s">
        <v>62</v>
      </c>
      <c r="B8" s="24" t="n">
        <f aca="false">SUMIFS(Zones!$F:$F,Zones!$A:$A,B$3,Zones!$B:$B,$A8)</f>
        <v>1491.086</v>
      </c>
      <c r="C8" s="24" t="n">
        <f aca="false">SUMIFS(Zones!$F:$F,Zones!$A:$A,C$3,Zones!$B:$B,$A8)</f>
        <v>4817.204</v>
      </c>
      <c r="D8" s="24" t="n">
        <f aca="false">SUMIFS(Zones!$F:$F,Zones!$A:$A,D$3,Zones!$B:$B,$A8)</f>
        <v>3716.67</v>
      </c>
      <c r="E8" s="26" t="n">
        <f aca="false">D8/C8-1</f>
        <v>-0.228459081242978</v>
      </c>
      <c r="F8" s="26" t="n">
        <f aca="false">D8/$D$9-1</f>
        <v>0.158607751671199</v>
      </c>
    </row>
    <row r="9" customFormat="false" ht="15" hidden="false" customHeight="false" outlineLevel="0" collapsed="false">
      <c r="A9" s="23" t="s">
        <v>63</v>
      </c>
      <c r="B9" s="24" t="n">
        <f aca="false">SUMIFS(Zones!$F:$F,Zones!$A:$A,B$3,Zones!$B:$B,$A9)</f>
        <v>1440.476</v>
      </c>
      <c r="C9" s="24" t="n">
        <f aca="false">SUMIFS(Zones!$F:$F,Zones!$A:$A,C$3,Zones!$B:$B,$A9)</f>
        <v>5449.124</v>
      </c>
      <c r="D9" s="24" t="n">
        <f aca="false">SUMIFS(Zones!$F:$F,Zones!$A:$A,D$3,Zones!$B:$B,$A9)</f>
        <v>3207.876</v>
      </c>
      <c r="E9" s="26" t="n">
        <f aca="false">D9/C9-1</f>
        <v>-0.411304275696424</v>
      </c>
      <c r="F9" s="26" t="n">
        <f aca="false">D9/$D$9-1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4"/>
  </cols>
  <sheetData>
    <row r="1" customFormat="false" ht="23.85" hidden="false" customHeight="false" outlineLevel="0" collapsed="false">
      <c r="A1" s="17" t="s">
        <v>32</v>
      </c>
      <c r="B1" s="18" t="s">
        <v>24</v>
      </c>
      <c r="C1" s="18" t="s">
        <v>39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45</v>
      </c>
      <c r="J1" s="18" t="s">
        <v>46</v>
      </c>
      <c r="K1" s="18" t="s">
        <v>47</v>
      </c>
      <c r="L1" s="18" t="s">
        <v>48</v>
      </c>
      <c r="M1" s="18" t="s">
        <v>49</v>
      </c>
      <c r="N1" s="18" t="s">
        <v>50</v>
      </c>
      <c r="O1" s="18" t="s">
        <v>51</v>
      </c>
      <c r="P1" s="18" t="s">
        <v>52</v>
      </c>
    </row>
    <row r="2" customFormat="false" ht="15" hidden="false" customHeight="false" outlineLevel="0" collapsed="false">
      <c r="A2" s="28" t="n">
        <v>43466</v>
      </c>
      <c r="B2" s="29" t="n">
        <v>536.73</v>
      </c>
      <c r="C2" s="29" t="n">
        <v>210.95</v>
      </c>
      <c r="D2" s="29" t="n">
        <v>115.01</v>
      </c>
      <c r="E2" s="29" t="n">
        <v>418.39</v>
      </c>
      <c r="F2" s="29" t="n">
        <v>168.6</v>
      </c>
      <c r="G2" s="29" t="n">
        <v>434.27</v>
      </c>
      <c r="H2" s="29" t="n">
        <v>185.42</v>
      </c>
      <c r="I2" s="29" t="n">
        <v>436.9</v>
      </c>
      <c r="J2" s="29" t="n">
        <v>635.58</v>
      </c>
      <c r="K2" s="29" t="n">
        <v>138.86</v>
      </c>
      <c r="L2" s="29" t="n">
        <v>537.73</v>
      </c>
      <c r="M2" s="29" t="n">
        <v>983.19</v>
      </c>
      <c r="N2" s="29" t="n">
        <v>1034.72</v>
      </c>
      <c r="O2" s="29" t="n">
        <v>1203.05</v>
      </c>
      <c r="P2" s="29" t="n">
        <v>1185.18</v>
      </c>
    </row>
    <row r="3" customFormat="false" ht="15" hidden="false" customHeight="false" outlineLevel="0" collapsed="false">
      <c r="A3" s="28" t="n">
        <v>43497</v>
      </c>
      <c r="B3" s="29" t="n">
        <v>539.41</v>
      </c>
      <c r="C3" s="29" t="n">
        <v>211.71</v>
      </c>
      <c r="D3" s="29" t="n">
        <v>110.11</v>
      </c>
      <c r="E3" s="29" t="n">
        <v>419.58</v>
      </c>
      <c r="F3" s="29" t="n">
        <v>168.18</v>
      </c>
      <c r="G3" s="29" t="n">
        <v>410.49</v>
      </c>
      <c r="H3" s="29" t="n">
        <v>211.63</v>
      </c>
      <c r="I3" s="29" t="n">
        <v>401.18</v>
      </c>
      <c r="J3" s="29" t="n">
        <v>575.46</v>
      </c>
      <c r="K3" s="29" t="n">
        <v>127.4</v>
      </c>
      <c r="L3" s="29" t="n">
        <v>533.23</v>
      </c>
      <c r="M3" s="29" t="n">
        <v>981.62</v>
      </c>
      <c r="N3" s="29" t="n">
        <v>1025.79</v>
      </c>
      <c r="O3" s="29" t="n">
        <v>1199.96</v>
      </c>
      <c r="P3" s="29" t="n">
        <v>1172.2</v>
      </c>
    </row>
    <row r="4" customFormat="false" ht="15" hidden="false" customHeight="false" outlineLevel="0" collapsed="false">
      <c r="A4" s="28" t="n">
        <v>43525</v>
      </c>
      <c r="B4" s="29" t="n">
        <v>555.47</v>
      </c>
      <c r="C4" s="29" t="n">
        <v>213.17</v>
      </c>
      <c r="D4" s="29" t="n">
        <v>118.24</v>
      </c>
      <c r="E4" s="29" t="n">
        <v>426.05</v>
      </c>
      <c r="F4" s="29" t="n">
        <v>165.75</v>
      </c>
      <c r="G4" s="29" t="n">
        <v>425.62</v>
      </c>
      <c r="H4" s="29" t="n">
        <v>212.49</v>
      </c>
      <c r="I4" s="29" t="n">
        <v>424.23</v>
      </c>
      <c r="J4" s="29" t="n">
        <v>640.62</v>
      </c>
      <c r="K4" s="29" t="n">
        <v>130.79</v>
      </c>
      <c r="L4" s="29" t="n">
        <v>547.5</v>
      </c>
      <c r="M4" s="29" t="n">
        <v>980.77</v>
      </c>
      <c r="N4" s="29" t="n">
        <v>1008.1</v>
      </c>
      <c r="O4" s="29" t="n">
        <v>1190.09</v>
      </c>
      <c r="P4" s="29" t="n">
        <v>1170.47</v>
      </c>
    </row>
    <row r="5" customFormat="false" ht="15" hidden="false" customHeight="false" outlineLevel="0" collapsed="false">
      <c r="A5" s="28" t="n">
        <v>43556</v>
      </c>
      <c r="B5" s="29" t="n">
        <v>488.5</v>
      </c>
      <c r="C5" s="29" t="n">
        <v>212</v>
      </c>
      <c r="D5" s="29" t="n">
        <v>117.12</v>
      </c>
      <c r="E5" s="29" t="n">
        <v>415.82</v>
      </c>
      <c r="F5" s="29" t="n">
        <v>166.96</v>
      </c>
      <c r="G5" s="29" t="n">
        <v>411.75</v>
      </c>
      <c r="H5" s="29" t="n">
        <v>139.18</v>
      </c>
      <c r="I5" s="29" t="n">
        <v>420.18</v>
      </c>
      <c r="J5" s="29" t="n">
        <v>595.67</v>
      </c>
      <c r="K5" s="29" t="n">
        <v>121.15</v>
      </c>
      <c r="L5" s="29" t="n">
        <v>511.02</v>
      </c>
      <c r="M5" s="29" t="n">
        <v>977.13</v>
      </c>
      <c r="N5" s="29" t="n">
        <v>1019.67</v>
      </c>
      <c r="O5" s="29" t="n">
        <v>1178.61</v>
      </c>
      <c r="P5" s="29" t="n">
        <v>1182.66</v>
      </c>
    </row>
    <row r="6" customFormat="false" ht="15" hidden="false" customHeight="false" outlineLevel="0" collapsed="false">
      <c r="A6" s="28" t="n">
        <v>43586</v>
      </c>
      <c r="B6" s="29" t="n">
        <v>457.3</v>
      </c>
      <c r="C6" s="29" t="n">
        <v>210.98</v>
      </c>
      <c r="D6" s="29" t="n">
        <v>119.06</v>
      </c>
      <c r="E6" s="29" t="n">
        <v>409.61</v>
      </c>
      <c r="F6" s="29" t="n">
        <v>166.47</v>
      </c>
      <c r="G6" s="29" t="n">
        <v>417.59</v>
      </c>
      <c r="H6" s="29" t="n">
        <v>134.25</v>
      </c>
      <c r="I6" s="29" t="n">
        <v>436.26</v>
      </c>
      <c r="J6" s="29" t="n">
        <v>612.77</v>
      </c>
      <c r="K6" s="29" t="n">
        <v>111.88</v>
      </c>
      <c r="L6" s="29" t="n">
        <v>483.45</v>
      </c>
      <c r="M6" s="29" t="n">
        <v>979.97</v>
      </c>
      <c r="N6" s="29" t="n">
        <v>1024.46</v>
      </c>
      <c r="O6" s="29" t="n">
        <v>1162.95</v>
      </c>
      <c r="P6" s="29" t="n">
        <v>1184.53</v>
      </c>
    </row>
    <row r="7" customFormat="false" ht="15" hidden="false" customHeight="false" outlineLevel="0" collapsed="false">
      <c r="A7" s="28" t="n">
        <v>43617</v>
      </c>
      <c r="B7" s="29" t="n">
        <v>462.76</v>
      </c>
      <c r="C7" s="29" t="n">
        <v>201.73</v>
      </c>
      <c r="D7" s="29" t="n">
        <v>115.39</v>
      </c>
      <c r="E7" s="29" t="n">
        <v>400.61</v>
      </c>
      <c r="F7" s="29" t="n">
        <v>160.56</v>
      </c>
      <c r="G7" s="29" t="n">
        <v>420.18</v>
      </c>
      <c r="H7" s="29" t="n">
        <v>146.88</v>
      </c>
      <c r="I7" s="29" t="n">
        <v>430.88</v>
      </c>
      <c r="J7" s="29" t="n">
        <v>626.62</v>
      </c>
      <c r="K7" s="29" t="n">
        <v>111.16</v>
      </c>
      <c r="L7" s="29" t="n">
        <v>518.93</v>
      </c>
      <c r="M7" s="29" t="n">
        <v>981.04</v>
      </c>
      <c r="N7" s="29" t="n">
        <v>1018.63</v>
      </c>
      <c r="O7" s="29" t="n">
        <v>1170.59</v>
      </c>
      <c r="P7" s="29" t="n">
        <v>1175.48</v>
      </c>
    </row>
    <row r="8" customFormat="false" ht="15" hidden="false" customHeight="false" outlineLevel="0" collapsed="false">
      <c r="A8" s="28" t="n">
        <v>43647</v>
      </c>
      <c r="B8" s="29" t="n">
        <v>426.73</v>
      </c>
      <c r="C8" s="29" t="n">
        <v>198.05</v>
      </c>
      <c r="D8" s="29" t="n">
        <v>113.41</v>
      </c>
      <c r="E8" s="29" t="n">
        <v>405.07</v>
      </c>
      <c r="F8" s="29" t="n">
        <v>166.41</v>
      </c>
      <c r="G8" s="29" t="n">
        <v>409.82</v>
      </c>
      <c r="H8" s="29" t="n">
        <v>154.12</v>
      </c>
      <c r="I8" s="29" t="n">
        <v>427.05</v>
      </c>
      <c r="J8" s="29" t="n">
        <v>675.1</v>
      </c>
      <c r="K8" s="29" t="n">
        <v>88.9</v>
      </c>
      <c r="L8" s="29" t="n">
        <v>548.71</v>
      </c>
      <c r="M8" s="29" t="n">
        <v>978.94</v>
      </c>
      <c r="N8" s="29" t="n">
        <v>1027.38</v>
      </c>
      <c r="O8" s="29" t="n">
        <v>1154.45</v>
      </c>
      <c r="P8" s="29" t="n">
        <v>1138.38</v>
      </c>
    </row>
    <row r="9" customFormat="false" ht="15" hidden="false" customHeight="false" outlineLevel="0" collapsed="false">
      <c r="A9" s="28" t="n">
        <v>43678</v>
      </c>
      <c r="B9" s="29" t="n">
        <v>411.69</v>
      </c>
      <c r="C9" s="29" t="n">
        <v>199.06</v>
      </c>
      <c r="D9" s="29" t="n">
        <v>116.46</v>
      </c>
      <c r="E9" s="29" t="n">
        <v>400.03</v>
      </c>
      <c r="F9" s="29" t="n">
        <v>165.89</v>
      </c>
      <c r="G9" s="29" t="n">
        <v>401.35</v>
      </c>
      <c r="H9" s="29" t="n">
        <v>132.19</v>
      </c>
      <c r="I9" s="29" t="n">
        <v>432.75</v>
      </c>
      <c r="J9" s="29" t="n">
        <v>645</v>
      </c>
      <c r="K9" s="29" t="n">
        <v>93.22</v>
      </c>
      <c r="L9" s="29" t="n">
        <v>519.76</v>
      </c>
      <c r="M9" s="29" t="n">
        <v>977</v>
      </c>
      <c r="N9" s="29" t="n">
        <v>1003.4</v>
      </c>
      <c r="O9" s="29" t="n">
        <v>1142.86</v>
      </c>
      <c r="P9" s="29" t="n">
        <v>1143.72</v>
      </c>
    </row>
    <row r="10" customFormat="false" ht="15" hidden="false" customHeight="false" outlineLevel="0" collapsed="false">
      <c r="A10" s="28" t="n">
        <v>43709</v>
      </c>
      <c r="B10" s="29" t="n">
        <v>460.77</v>
      </c>
      <c r="C10" s="29" t="n">
        <v>205.65</v>
      </c>
      <c r="D10" s="29" t="n">
        <v>119.8</v>
      </c>
      <c r="E10" s="29" t="n">
        <v>402</v>
      </c>
      <c r="F10" s="29" t="n">
        <v>160.36</v>
      </c>
      <c r="G10" s="29" t="n">
        <v>418.37</v>
      </c>
      <c r="H10" s="29" t="n">
        <v>156.95</v>
      </c>
      <c r="I10" s="29" t="n">
        <v>480.06</v>
      </c>
      <c r="J10" s="29" t="n">
        <v>656.16</v>
      </c>
      <c r="K10" s="29" t="n">
        <v>125.74</v>
      </c>
      <c r="L10" s="29" t="n">
        <v>496.34</v>
      </c>
      <c r="M10" s="29" t="n">
        <v>980.74</v>
      </c>
      <c r="N10" s="29" t="n">
        <v>1012.16</v>
      </c>
      <c r="O10" s="29" t="n">
        <v>1166.05</v>
      </c>
      <c r="P10" s="29" t="n">
        <v>1156.57</v>
      </c>
    </row>
    <row r="11" customFormat="false" ht="15" hidden="false" customHeight="false" outlineLevel="0" collapsed="false">
      <c r="A11" s="28" t="n">
        <v>43739</v>
      </c>
      <c r="B11" s="29" t="n">
        <v>352.99</v>
      </c>
      <c r="C11" s="29" t="n">
        <v>201.87</v>
      </c>
      <c r="D11" s="29" t="n">
        <v>117.5</v>
      </c>
      <c r="E11" s="29" t="n">
        <v>398.42</v>
      </c>
      <c r="F11" s="29" t="n">
        <v>170.87</v>
      </c>
      <c r="G11" s="29" t="n">
        <v>417.28</v>
      </c>
      <c r="H11" s="29" t="n">
        <v>97.77</v>
      </c>
      <c r="I11" s="29" t="n">
        <v>544.71</v>
      </c>
      <c r="J11" s="29" t="n">
        <v>668.4</v>
      </c>
      <c r="K11" s="29" t="n">
        <v>95.92</v>
      </c>
      <c r="L11" s="29" t="n">
        <v>434.2</v>
      </c>
      <c r="M11" s="29" t="n">
        <v>980.51</v>
      </c>
      <c r="N11" s="29" t="n">
        <v>1023.69</v>
      </c>
      <c r="O11" s="29" t="n">
        <v>1172.98</v>
      </c>
      <c r="P11" s="29" t="n">
        <v>1181.99</v>
      </c>
    </row>
    <row r="12" customFormat="false" ht="15" hidden="false" customHeight="false" outlineLevel="0" collapsed="false">
      <c r="A12" s="28" t="n">
        <v>43770</v>
      </c>
      <c r="B12" s="29" t="n">
        <v>355.32</v>
      </c>
      <c r="C12" s="29" t="n">
        <v>204.24</v>
      </c>
      <c r="D12" s="29" t="n">
        <v>117.96</v>
      </c>
      <c r="E12" s="29" t="n">
        <v>405.28</v>
      </c>
      <c r="F12" s="29" t="n">
        <v>175.35</v>
      </c>
      <c r="G12" s="29" t="n">
        <v>418.64</v>
      </c>
      <c r="H12" s="29" t="n">
        <v>99.24</v>
      </c>
      <c r="I12" s="29" t="n">
        <v>546.4</v>
      </c>
      <c r="J12" s="29" t="n">
        <v>651.44</v>
      </c>
      <c r="K12" s="29" t="n">
        <v>97.13</v>
      </c>
      <c r="L12" s="29" t="n">
        <v>427.99</v>
      </c>
      <c r="M12" s="29" t="n">
        <v>980.5</v>
      </c>
      <c r="N12" s="29" t="n">
        <v>1014.63</v>
      </c>
      <c r="O12" s="29" t="n">
        <v>1156.08</v>
      </c>
      <c r="P12" s="29" t="n">
        <v>1184.13</v>
      </c>
    </row>
    <row r="13" customFormat="false" ht="15" hidden="false" customHeight="false" outlineLevel="0" collapsed="false">
      <c r="A13" s="28" t="n">
        <v>43800</v>
      </c>
      <c r="B13" s="29" t="n">
        <v>371.23</v>
      </c>
      <c r="C13" s="29" t="n">
        <v>200.01</v>
      </c>
      <c r="D13" s="29" t="n">
        <v>115.39</v>
      </c>
      <c r="E13" s="29" t="n">
        <v>400</v>
      </c>
      <c r="F13" s="29" t="n">
        <v>179.96</v>
      </c>
      <c r="G13" s="29" t="n">
        <v>411.74</v>
      </c>
      <c r="H13" s="29" t="n">
        <v>110.02</v>
      </c>
      <c r="I13" s="29" t="n">
        <v>492.83</v>
      </c>
      <c r="J13" s="29" t="n">
        <v>645.63</v>
      </c>
      <c r="K13" s="29" t="n">
        <v>84.79</v>
      </c>
      <c r="L13" s="29" t="n">
        <v>468.11</v>
      </c>
      <c r="M13" s="29" t="n">
        <v>983.44</v>
      </c>
      <c r="N13" s="29" t="n">
        <v>1015.97</v>
      </c>
      <c r="O13" s="29" t="n">
        <v>1135.37</v>
      </c>
      <c r="P13" s="29" t="n">
        <v>1160.62</v>
      </c>
    </row>
    <row r="14" customFormat="false" ht="15" hidden="false" customHeight="false" outlineLevel="0" collapsed="false">
      <c r="A14" s="28" t="n">
        <v>43831</v>
      </c>
      <c r="B14" s="29" t="n">
        <v>340.87</v>
      </c>
      <c r="C14" s="29" t="n">
        <v>201.44</v>
      </c>
      <c r="D14" s="29" t="n">
        <v>117.76</v>
      </c>
      <c r="E14" s="29" t="n">
        <v>403.55</v>
      </c>
      <c r="F14" s="29" t="n">
        <v>179.77</v>
      </c>
      <c r="G14" s="29" t="n">
        <v>403.04</v>
      </c>
      <c r="H14" s="29" t="n">
        <v>94.48</v>
      </c>
      <c r="I14" s="29" t="n">
        <v>539.88</v>
      </c>
      <c r="J14" s="29" t="n">
        <v>651.29</v>
      </c>
      <c r="K14" s="29" t="n">
        <v>94.49</v>
      </c>
      <c r="L14" s="29" t="n">
        <v>416.65</v>
      </c>
      <c r="M14" s="29" t="n">
        <v>982.21</v>
      </c>
      <c r="N14" s="29" t="n">
        <v>1015.15</v>
      </c>
      <c r="O14" s="29" t="n">
        <v>1153.74</v>
      </c>
      <c r="P14" s="29" t="n">
        <v>1174.92</v>
      </c>
    </row>
    <row r="15" customFormat="false" ht="15" hidden="false" customHeight="false" outlineLevel="0" collapsed="false">
      <c r="A15" s="28" t="n">
        <v>43862</v>
      </c>
      <c r="B15" s="29" t="n">
        <v>358.49</v>
      </c>
      <c r="C15" s="29" t="n">
        <v>204.02</v>
      </c>
      <c r="D15" s="29" t="n">
        <v>119.57</v>
      </c>
      <c r="E15" s="29" t="n">
        <v>409.98</v>
      </c>
      <c r="F15" s="29" t="n">
        <v>180.23</v>
      </c>
      <c r="G15" s="29" t="n">
        <v>400.34</v>
      </c>
      <c r="H15" s="29" t="n">
        <v>100.11</v>
      </c>
      <c r="I15" s="29" t="n">
        <v>521.46</v>
      </c>
      <c r="J15" s="29" t="n">
        <v>620.82</v>
      </c>
      <c r="K15" s="29" t="n">
        <v>94.46</v>
      </c>
      <c r="L15" s="29" t="n">
        <v>412.71</v>
      </c>
      <c r="M15" s="29" t="n">
        <v>980.94</v>
      </c>
      <c r="N15" s="29" t="n">
        <v>993.43</v>
      </c>
      <c r="O15" s="29" t="n">
        <v>1155.96</v>
      </c>
      <c r="P15" s="29" t="n">
        <v>1174.79</v>
      </c>
    </row>
    <row r="16" customFormat="false" ht="15" hidden="false" customHeight="false" outlineLevel="0" collapsed="false">
      <c r="A16" s="28" t="n">
        <v>43891</v>
      </c>
      <c r="B16" s="29" t="n">
        <v>384.77</v>
      </c>
      <c r="C16" s="29" t="n">
        <v>214.94</v>
      </c>
      <c r="D16" s="29" t="n">
        <v>120.73</v>
      </c>
      <c r="E16" s="29" t="n">
        <v>438.13</v>
      </c>
      <c r="F16" s="29" t="n">
        <v>195.64</v>
      </c>
      <c r="G16" s="29" t="n">
        <v>377.23</v>
      </c>
      <c r="H16" s="29" t="n">
        <v>109.21</v>
      </c>
      <c r="I16" s="29" t="n">
        <v>518.46</v>
      </c>
      <c r="J16" s="29" t="n">
        <v>633.05</v>
      </c>
      <c r="K16" s="29" t="n">
        <v>92.72</v>
      </c>
      <c r="L16" s="29" t="n">
        <v>469.54</v>
      </c>
      <c r="M16" s="29" t="n">
        <v>991.96</v>
      </c>
      <c r="N16" s="29" t="n">
        <v>1055.64</v>
      </c>
      <c r="O16" s="29" t="n">
        <v>1170.45</v>
      </c>
      <c r="P16" s="29" t="n">
        <v>1220.02</v>
      </c>
    </row>
    <row r="17" customFormat="false" ht="15" hidden="false" customHeight="false" outlineLevel="0" collapsed="false">
      <c r="A17" s="28" t="n">
        <v>43922</v>
      </c>
      <c r="B17" s="29" t="n">
        <v>405.23</v>
      </c>
      <c r="C17" s="29" t="n">
        <v>233.68</v>
      </c>
      <c r="D17" s="29" t="n">
        <v>144.01</v>
      </c>
      <c r="E17" s="29" t="n">
        <v>509.46</v>
      </c>
      <c r="F17" s="29" t="n">
        <v>229.61</v>
      </c>
      <c r="G17" s="29" t="n">
        <v>395.39</v>
      </c>
      <c r="H17" s="29" t="n">
        <v>114.45</v>
      </c>
      <c r="I17" s="29" t="n">
        <v>543.97</v>
      </c>
      <c r="J17" s="29" t="n">
        <v>658.01</v>
      </c>
      <c r="K17" s="29" t="n">
        <v>93.72</v>
      </c>
      <c r="L17" s="29" t="n">
        <v>499.21</v>
      </c>
      <c r="M17" s="29" t="n">
        <v>997.17</v>
      </c>
      <c r="N17" s="29" t="n">
        <v>1098.24</v>
      </c>
      <c r="O17" s="29" t="n">
        <v>1180.15</v>
      </c>
      <c r="P17" s="29" t="n">
        <v>1193.93</v>
      </c>
    </row>
    <row r="18" customFormat="false" ht="15" hidden="false" customHeight="false" outlineLevel="0" collapsed="false">
      <c r="A18" s="28" t="n">
        <v>43952</v>
      </c>
      <c r="B18" s="29" t="n">
        <v>438.52</v>
      </c>
      <c r="C18" s="29" t="n">
        <v>230.52</v>
      </c>
      <c r="D18" s="29" t="n">
        <v>150.08</v>
      </c>
      <c r="E18" s="29" t="n">
        <v>510.88</v>
      </c>
      <c r="F18" s="29" t="n">
        <v>264.39</v>
      </c>
      <c r="G18" s="29" t="n">
        <v>397.4</v>
      </c>
      <c r="H18" s="29" t="n">
        <v>122.61</v>
      </c>
      <c r="I18" s="29" t="n">
        <v>558.79</v>
      </c>
      <c r="J18" s="29" t="n">
        <v>670.63</v>
      </c>
      <c r="K18" s="29" t="n">
        <v>98.86</v>
      </c>
      <c r="L18" s="29" t="n">
        <v>559.77</v>
      </c>
      <c r="M18" s="29" t="n">
        <v>989.8</v>
      </c>
      <c r="N18" s="29" t="n">
        <v>1092.3</v>
      </c>
      <c r="O18" s="29" t="n">
        <v>1234.01</v>
      </c>
      <c r="P18" s="29" t="n">
        <v>1234.26</v>
      </c>
    </row>
    <row r="19" customFormat="false" ht="15" hidden="false" customHeight="false" outlineLevel="0" collapsed="false">
      <c r="A19" s="28" t="n">
        <v>43983</v>
      </c>
      <c r="B19" s="29" t="n">
        <v>465.04</v>
      </c>
      <c r="C19" s="29" t="n">
        <v>252.11</v>
      </c>
      <c r="D19" s="29" t="n">
        <v>164.95</v>
      </c>
      <c r="E19" s="29" t="n">
        <v>551.33</v>
      </c>
      <c r="F19" s="29" t="n">
        <v>271.42</v>
      </c>
      <c r="G19" s="29" t="n">
        <v>393.04</v>
      </c>
      <c r="H19" s="29" t="n">
        <v>145.48</v>
      </c>
      <c r="I19" s="29" t="n">
        <v>567.67</v>
      </c>
      <c r="J19" s="29" t="n">
        <v>707.25</v>
      </c>
      <c r="K19" s="29" t="n">
        <v>101.81</v>
      </c>
      <c r="L19" s="29" t="n">
        <v>613.56</v>
      </c>
      <c r="M19" s="29" t="n">
        <v>1015.65</v>
      </c>
      <c r="N19" s="29" t="n">
        <v>1093.22</v>
      </c>
      <c r="O19" s="29" t="n">
        <v>1243.85</v>
      </c>
      <c r="P19" s="29" t="n">
        <v>1235.31</v>
      </c>
    </row>
    <row r="20" customFormat="false" ht="15" hidden="false" customHeight="false" outlineLevel="0" collapsed="false">
      <c r="A20" s="28" t="n">
        <v>44013</v>
      </c>
      <c r="B20" s="29" t="n">
        <v>575.58</v>
      </c>
      <c r="C20" s="29" t="n">
        <v>264.3</v>
      </c>
      <c r="D20" s="29" t="n">
        <v>185.26</v>
      </c>
      <c r="E20" s="29" t="n">
        <v>636.11</v>
      </c>
      <c r="F20" s="29" t="n">
        <v>282.49</v>
      </c>
      <c r="G20" s="29" t="n">
        <v>457.45</v>
      </c>
      <c r="H20" s="29" t="n">
        <v>172.13</v>
      </c>
      <c r="I20" s="29" t="n">
        <v>589.18</v>
      </c>
      <c r="J20" s="29" t="n">
        <v>791.55</v>
      </c>
      <c r="K20" s="29" t="n">
        <v>136.37</v>
      </c>
      <c r="L20" s="29" t="n">
        <v>548.44</v>
      </c>
      <c r="M20" s="29" t="n">
        <v>1018.41</v>
      </c>
      <c r="N20" s="29" t="n">
        <v>1120.92</v>
      </c>
      <c r="O20" s="29" t="n">
        <v>1211.31</v>
      </c>
      <c r="P20" s="29" t="n">
        <v>1231.41</v>
      </c>
    </row>
    <row r="21" customFormat="false" ht="15" hidden="false" customHeight="false" outlineLevel="0" collapsed="false">
      <c r="A21" s="28" t="n">
        <v>44044</v>
      </c>
      <c r="B21" s="29" t="n">
        <v>709.92</v>
      </c>
      <c r="C21" s="29" t="n">
        <v>280.81</v>
      </c>
      <c r="D21" s="29" t="n">
        <v>217.73</v>
      </c>
      <c r="E21" s="29" t="n">
        <v>751.44</v>
      </c>
      <c r="F21" s="29" t="n">
        <v>303.53</v>
      </c>
      <c r="G21" s="29" t="n">
        <v>527.66</v>
      </c>
      <c r="H21" s="29" t="n">
        <v>168.34</v>
      </c>
      <c r="I21" s="29" t="n">
        <v>615.86</v>
      </c>
      <c r="J21" s="29" t="n">
        <v>895.74</v>
      </c>
      <c r="K21" s="29" t="n">
        <v>131.45</v>
      </c>
      <c r="L21" s="29" t="n">
        <v>507.64</v>
      </c>
      <c r="M21" s="29" t="n">
        <v>1041.87</v>
      </c>
      <c r="N21" s="29" t="n">
        <v>1158.35</v>
      </c>
      <c r="O21" s="29" t="n">
        <v>1244.39</v>
      </c>
      <c r="P21" s="29" t="n">
        <v>1288.43</v>
      </c>
    </row>
    <row r="22" customFormat="false" ht="15" hidden="false" customHeight="false" outlineLevel="0" collapsed="false">
      <c r="A22" s="28" t="n">
        <v>44075</v>
      </c>
      <c r="B22" s="29" t="n">
        <v>824.3</v>
      </c>
      <c r="C22" s="29" t="n">
        <v>283.63</v>
      </c>
      <c r="D22" s="29" t="n">
        <v>240.6</v>
      </c>
      <c r="E22" s="29" t="n">
        <v>779.27</v>
      </c>
      <c r="F22" s="29" t="n">
        <v>310.49</v>
      </c>
      <c r="G22" s="29" t="n">
        <v>603.65</v>
      </c>
      <c r="H22" s="29" t="n">
        <v>151.15</v>
      </c>
      <c r="I22" s="29" t="n">
        <v>634.81</v>
      </c>
      <c r="J22" s="29" t="n">
        <v>913.6</v>
      </c>
      <c r="K22" s="29" t="n">
        <v>134.52</v>
      </c>
      <c r="L22" s="29" t="n">
        <v>454.69</v>
      </c>
      <c r="M22" s="29" t="n">
        <v>1042.26</v>
      </c>
      <c r="N22" s="29" t="n">
        <v>1170.53</v>
      </c>
      <c r="O22" s="29" t="n">
        <v>1227.39</v>
      </c>
      <c r="P22" s="29" t="n">
        <v>1286.26</v>
      </c>
    </row>
    <row r="23" customFormat="false" ht="15" hidden="false" customHeight="false" outlineLevel="0" collapsed="false">
      <c r="A23" s="28" t="n">
        <v>44105</v>
      </c>
      <c r="B23" s="29" t="n">
        <v>763.39</v>
      </c>
      <c r="C23" s="29" t="n">
        <v>289.73</v>
      </c>
      <c r="D23" s="29" t="n">
        <v>224.98</v>
      </c>
      <c r="E23" s="29" t="n">
        <v>756.03</v>
      </c>
      <c r="F23" s="29" t="n">
        <v>321.26</v>
      </c>
      <c r="G23" s="29" t="n">
        <v>535.7</v>
      </c>
      <c r="H23" s="29" t="n">
        <v>126.67</v>
      </c>
      <c r="I23" s="29" t="n">
        <v>588.29</v>
      </c>
      <c r="J23" s="29" t="n">
        <v>741.96</v>
      </c>
      <c r="K23" s="29" t="n">
        <v>116.46</v>
      </c>
      <c r="L23" s="29" t="n">
        <v>445.93</v>
      </c>
      <c r="M23" s="29" t="n">
        <v>1010.27</v>
      </c>
      <c r="N23" s="29" t="n">
        <v>1071.44</v>
      </c>
      <c r="O23" s="29" t="n">
        <v>1259.53</v>
      </c>
      <c r="P23" s="29" t="n">
        <v>1285.72</v>
      </c>
    </row>
    <row r="24" customFormat="false" ht="15" hidden="false" customHeight="false" outlineLevel="0" collapsed="false">
      <c r="A24" s="28" t="n">
        <v>44136</v>
      </c>
      <c r="B24" s="29" t="n">
        <v>660.38</v>
      </c>
      <c r="C24" s="29" t="n">
        <v>296.15</v>
      </c>
      <c r="D24" s="29" t="n">
        <v>209.31</v>
      </c>
      <c r="E24" s="29" t="n">
        <v>737.78</v>
      </c>
      <c r="F24" s="29" t="n">
        <v>313.03</v>
      </c>
      <c r="G24" s="29" t="n">
        <v>531.17</v>
      </c>
      <c r="H24" s="29" t="n">
        <v>137.72</v>
      </c>
      <c r="I24" s="29" t="n">
        <v>622.4</v>
      </c>
      <c r="J24" s="29" t="n">
        <v>811.29</v>
      </c>
      <c r="K24" s="29" t="n">
        <v>121.09</v>
      </c>
      <c r="L24" s="29" t="n">
        <v>498.05</v>
      </c>
      <c r="M24" s="29" t="n">
        <v>1020</v>
      </c>
      <c r="N24" s="29" t="n">
        <v>1164.63</v>
      </c>
      <c r="O24" s="29" t="n">
        <v>1327.31</v>
      </c>
      <c r="P24" s="29" t="n">
        <v>1379.53</v>
      </c>
    </row>
    <row r="25" customFormat="false" ht="15" hidden="false" customHeight="false" outlineLevel="0" collapsed="false">
      <c r="A25" s="28" t="n">
        <v>44166</v>
      </c>
      <c r="B25" s="29" t="n">
        <v>741.36</v>
      </c>
      <c r="C25" s="29" t="n">
        <v>300.44</v>
      </c>
      <c r="D25" s="29" t="n">
        <v>206.79</v>
      </c>
      <c r="E25" s="29" t="n">
        <v>729.06</v>
      </c>
      <c r="F25" s="29" t="n">
        <v>305.82</v>
      </c>
      <c r="G25" s="29" t="n">
        <v>586.35</v>
      </c>
      <c r="H25" s="29" t="n">
        <v>177.47</v>
      </c>
      <c r="I25" s="29" t="n">
        <v>643.58</v>
      </c>
      <c r="J25" s="29" t="n">
        <v>925.99</v>
      </c>
      <c r="K25" s="29" t="n">
        <v>147.56</v>
      </c>
      <c r="L25" s="29" t="n">
        <v>558.25</v>
      </c>
      <c r="M25" s="29" t="n">
        <v>1038.07</v>
      </c>
      <c r="N25" s="29" t="n">
        <v>1231.25</v>
      </c>
      <c r="O25" s="29" t="n">
        <v>1287.5</v>
      </c>
      <c r="P25" s="29" t="n">
        <v>1295.58</v>
      </c>
    </row>
    <row r="26" customFormat="false" ht="15" hidden="false" customHeight="false" outlineLevel="0" collapsed="false">
      <c r="A26" s="28" t="n">
        <v>44197</v>
      </c>
      <c r="B26" s="29" t="n">
        <v>887.71</v>
      </c>
      <c r="C26" s="29" t="n">
        <v>300.31</v>
      </c>
      <c r="D26" s="29" t="n">
        <v>211.62</v>
      </c>
      <c r="E26" s="29" t="n">
        <v>763.23</v>
      </c>
      <c r="F26" s="29" t="n">
        <v>307.48</v>
      </c>
      <c r="G26" s="29" t="n">
        <v>563.16</v>
      </c>
      <c r="H26" s="29" t="n">
        <v>250.6</v>
      </c>
      <c r="I26" s="29" t="n">
        <v>619.07</v>
      </c>
      <c r="J26" s="29" t="n">
        <v>969.93</v>
      </c>
      <c r="K26" s="29" t="n">
        <v>146.04</v>
      </c>
      <c r="L26" s="29" t="n">
        <v>604.87</v>
      </c>
      <c r="M26" s="29" t="n">
        <v>1078.52</v>
      </c>
      <c r="N26" s="29" t="n">
        <v>1257.14</v>
      </c>
      <c r="O26" s="29" t="n">
        <v>1404.87</v>
      </c>
      <c r="P26" s="29" t="n">
        <v>1352.75</v>
      </c>
    </row>
    <row r="27" customFormat="false" ht="15" hidden="false" customHeight="false" outlineLevel="0" collapsed="false">
      <c r="A27" s="28" t="n">
        <v>44228</v>
      </c>
      <c r="B27" s="29" t="n">
        <v>939.7</v>
      </c>
      <c r="C27" s="29" t="n">
        <v>321.82</v>
      </c>
      <c r="D27" s="29" t="n">
        <v>224.15</v>
      </c>
      <c r="E27" s="29" t="n">
        <v>801.93</v>
      </c>
      <c r="F27" s="29" t="n">
        <v>327.34</v>
      </c>
      <c r="G27" s="29" t="n">
        <v>573.67</v>
      </c>
      <c r="H27" s="29" t="n">
        <v>218.19</v>
      </c>
      <c r="I27" s="29" t="n">
        <v>628.16</v>
      </c>
      <c r="J27" s="29" t="n">
        <v>944.73</v>
      </c>
      <c r="K27" s="29" t="n">
        <v>161.4</v>
      </c>
      <c r="L27" s="29" t="n">
        <v>507.75</v>
      </c>
      <c r="M27" s="29" t="n">
        <v>1069.76</v>
      </c>
      <c r="N27" s="29" t="n">
        <v>1260.06</v>
      </c>
      <c r="O27" s="29" t="n">
        <v>1336.33</v>
      </c>
      <c r="P27" s="29" t="n">
        <v>1295.28</v>
      </c>
    </row>
    <row r="28" customFormat="false" ht="15" hidden="false" customHeight="false" outlineLevel="0" collapsed="false">
      <c r="A28" s="28" t="n">
        <v>44256</v>
      </c>
      <c r="B28" s="29" t="n">
        <v>1142.76</v>
      </c>
      <c r="C28" s="29" t="n">
        <v>343.05</v>
      </c>
      <c r="D28" s="29" t="n">
        <v>232.7</v>
      </c>
      <c r="E28" s="29" t="n">
        <v>876.75</v>
      </c>
      <c r="F28" s="29" t="n">
        <v>334.77</v>
      </c>
      <c r="G28" s="29" t="n">
        <v>671.15</v>
      </c>
      <c r="H28" s="29" t="n">
        <v>272.23</v>
      </c>
      <c r="I28" s="29" t="n">
        <v>691.44</v>
      </c>
      <c r="J28" s="29" t="n">
        <v>1104.9</v>
      </c>
      <c r="K28" s="29" t="n">
        <v>149.4</v>
      </c>
      <c r="L28" s="29" t="n">
        <v>517.46</v>
      </c>
      <c r="M28" s="29" t="n">
        <v>1155.47</v>
      </c>
      <c r="N28" s="29" t="n">
        <v>1428.44</v>
      </c>
      <c r="O28" s="29" t="n">
        <v>1553.21</v>
      </c>
      <c r="P28" s="29" t="n">
        <v>1480.6</v>
      </c>
    </row>
    <row r="29" customFormat="false" ht="15" hidden="false" customHeight="false" outlineLevel="0" collapsed="false">
      <c r="A29" s="28" t="n">
        <v>44287</v>
      </c>
      <c r="B29" s="29" t="n">
        <v>1112.14</v>
      </c>
      <c r="C29" s="29" t="n">
        <v>347.36</v>
      </c>
      <c r="D29" s="29" t="n">
        <v>238.47</v>
      </c>
      <c r="E29" s="29" t="n">
        <v>881.2</v>
      </c>
      <c r="F29" s="29" t="n">
        <v>343</v>
      </c>
      <c r="G29" s="29" t="n">
        <v>644.64</v>
      </c>
      <c r="H29" s="29" t="n">
        <v>250.73</v>
      </c>
      <c r="I29" s="29" t="n">
        <v>617.36</v>
      </c>
      <c r="J29" s="29" t="n">
        <v>1026.83</v>
      </c>
      <c r="K29" s="29" t="n">
        <v>158.79</v>
      </c>
      <c r="L29" s="29" t="n">
        <v>546.8</v>
      </c>
      <c r="M29" s="29" t="n">
        <v>1191.56</v>
      </c>
      <c r="N29" s="29" t="n">
        <v>1305.46</v>
      </c>
      <c r="O29" s="29" t="n">
        <v>1540.23</v>
      </c>
      <c r="P29" s="29" t="n">
        <v>1481.55</v>
      </c>
    </row>
    <row r="30" customFormat="false" ht="15" hidden="false" customHeight="false" outlineLevel="0" collapsed="false">
      <c r="A30" s="28" t="n">
        <v>44317</v>
      </c>
      <c r="B30" s="29" t="n">
        <v>1178.45</v>
      </c>
      <c r="C30" s="29" t="n">
        <v>367.17</v>
      </c>
      <c r="D30" s="29" t="n">
        <v>249.15</v>
      </c>
      <c r="E30" s="29" t="n">
        <v>869.84</v>
      </c>
      <c r="F30" s="29" t="n">
        <v>369.52</v>
      </c>
      <c r="G30" s="29" t="n">
        <v>653.37</v>
      </c>
      <c r="H30" s="29" t="n">
        <v>275.48</v>
      </c>
      <c r="I30" s="29" t="n">
        <v>609.86</v>
      </c>
      <c r="J30" s="29" t="n">
        <v>1054.76</v>
      </c>
      <c r="K30" s="29" t="n">
        <v>178.02</v>
      </c>
      <c r="L30" s="29" t="n">
        <v>633.65</v>
      </c>
      <c r="M30" s="29" t="n">
        <v>1261.34</v>
      </c>
      <c r="N30" s="29" t="n">
        <v>1339.03</v>
      </c>
      <c r="O30" s="29" t="n">
        <v>1605.39</v>
      </c>
      <c r="P30" s="29" t="n">
        <v>1574.12</v>
      </c>
    </row>
    <row r="31" customFormat="false" ht="15" hidden="false" customHeight="false" outlineLevel="0" collapsed="false">
      <c r="A31" s="28" t="n">
        <v>44348</v>
      </c>
      <c r="B31" s="29" t="n">
        <v>1345.71</v>
      </c>
      <c r="C31" s="29" t="n">
        <v>384.67</v>
      </c>
      <c r="D31" s="29" t="n">
        <v>281.56</v>
      </c>
      <c r="E31" s="29" t="n">
        <v>895.17</v>
      </c>
      <c r="F31" s="29" t="n">
        <v>409.22</v>
      </c>
      <c r="G31" s="29" t="n">
        <v>688.83</v>
      </c>
      <c r="H31" s="29" t="n">
        <v>277.07</v>
      </c>
      <c r="I31" s="29" t="n">
        <v>613.05</v>
      </c>
      <c r="J31" s="29" t="n">
        <v>1335.46</v>
      </c>
      <c r="K31" s="29" t="n">
        <v>195.58</v>
      </c>
      <c r="L31" s="29" t="n">
        <v>650.47</v>
      </c>
      <c r="M31" s="29" t="n">
        <v>1222.57</v>
      </c>
      <c r="N31" s="29" t="n">
        <v>1411.1</v>
      </c>
      <c r="O31" s="29" t="n">
        <v>1483.88</v>
      </c>
      <c r="P31" s="29" t="n">
        <v>1446.42</v>
      </c>
    </row>
    <row r="32" customFormat="false" ht="15" hidden="false" customHeight="false" outlineLevel="0" collapsed="false">
      <c r="A32" s="28" t="n">
        <v>44378</v>
      </c>
      <c r="B32" s="29" t="n">
        <v>1416.95</v>
      </c>
      <c r="C32" s="29" t="n">
        <v>411.67</v>
      </c>
      <c r="D32" s="29" t="n">
        <v>311.72</v>
      </c>
      <c r="E32" s="29" t="n">
        <v>1031.16</v>
      </c>
      <c r="F32" s="29" t="n">
        <v>378.57</v>
      </c>
      <c r="G32" s="29" t="n">
        <v>719.1</v>
      </c>
      <c r="H32" s="29" t="n">
        <v>271.53</v>
      </c>
      <c r="I32" s="29" t="n">
        <v>629.38</v>
      </c>
      <c r="J32" s="29" t="n">
        <v>1403.54</v>
      </c>
      <c r="K32" s="29" t="n">
        <v>195.3</v>
      </c>
      <c r="L32" s="29" t="n">
        <v>688.19</v>
      </c>
      <c r="M32" s="29" t="n">
        <v>1254.3</v>
      </c>
      <c r="N32" s="29" t="n">
        <v>1506.17</v>
      </c>
      <c r="O32" s="29" t="n">
        <v>1425.28</v>
      </c>
      <c r="P32" s="29" t="n">
        <v>1415.88</v>
      </c>
    </row>
    <row r="33" customFormat="false" ht="15" hidden="false" customHeight="false" outlineLevel="0" collapsed="false">
      <c r="A33" s="28" t="n">
        <v>44409</v>
      </c>
      <c r="B33" s="29" t="n">
        <v>1243.74</v>
      </c>
      <c r="C33" s="29" t="n">
        <v>418.21</v>
      </c>
      <c r="D33" s="29" t="n">
        <v>326.97</v>
      </c>
      <c r="E33" s="29" t="n">
        <v>1031.39</v>
      </c>
      <c r="F33" s="29" t="n">
        <v>353.71</v>
      </c>
      <c r="G33" s="29" t="n">
        <v>727.2</v>
      </c>
      <c r="H33" s="29" t="n">
        <v>271.49</v>
      </c>
      <c r="I33" s="29" t="n">
        <v>648.22</v>
      </c>
      <c r="J33" s="29" t="n">
        <v>1297.64</v>
      </c>
      <c r="K33" s="29" t="n">
        <v>179.19</v>
      </c>
      <c r="L33" s="29" t="n">
        <v>638.55</v>
      </c>
      <c r="M33" s="29" t="n">
        <v>1276.17</v>
      </c>
      <c r="N33" s="29" t="n">
        <v>1478.22</v>
      </c>
      <c r="O33" s="29" t="n">
        <v>1446.43</v>
      </c>
      <c r="P33" s="29" t="n">
        <v>1418.22</v>
      </c>
    </row>
    <row r="34" customFormat="false" ht="15" hidden="false" customHeight="false" outlineLevel="0" collapsed="false">
      <c r="A34" s="28" t="n">
        <v>44440</v>
      </c>
      <c r="B34" s="29" t="n">
        <v>1317.48</v>
      </c>
      <c r="C34" s="29" t="n">
        <v>399.16</v>
      </c>
      <c r="D34" s="29" t="n">
        <v>332.39</v>
      </c>
      <c r="E34" s="29" t="n">
        <v>1032.64</v>
      </c>
      <c r="F34" s="29" t="n">
        <v>350.37</v>
      </c>
      <c r="G34" s="29" t="n">
        <v>753.99</v>
      </c>
      <c r="H34" s="29" t="n">
        <v>227.61</v>
      </c>
      <c r="I34" s="29" t="n">
        <v>630.98</v>
      </c>
      <c r="J34" s="29" t="n">
        <v>1267.28</v>
      </c>
      <c r="K34" s="29" t="n">
        <v>175.87</v>
      </c>
      <c r="L34" s="29" t="n">
        <v>547.4</v>
      </c>
      <c r="M34" s="29" t="n">
        <v>1278.94</v>
      </c>
      <c r="N34" s="29" t="n">
        <v>1429.43</v>
      </c>
      <c r="O34" s="29" t="n">
        <v>1489.34</v>
      </c>
      <c r="P34" s="29" t="n">
        <v>1434.89</v>
      </c>
    </row>
    <row r="35" customFormat="false" ht="15" hidden="false" customHeight="false" outlineLevel="0" collapsed="false">
      <c r="A35" s="28" t="n">
        <v>44470</v>
      </c>
      <c r="B35" s="29" t="n">
        <v>1154.97</v>
      </c>
      <c r="C35" s="29" t="n">
        <v>406.86</v>
      </c>
      <c r="D35" s="29" t="n">
        <v>325.79</v>
      </c>
      <c r="E35" s="29" t="n">
        <v>1028</v>
      </c>
      <c r="F35" s="29" t="n">
        <v>334.7</v>
      </c>
      <c r="G35" s="29" t="n">
        <v>732.37</v>
      </c>
      <c r="H35" s="29" t="n">
        <v>224.75</v>
      </c>
      <c r="I35" s="29" t="n">
        <v>650.16</v>
      </c>
      <c r="J35" s="29" t="n">
        <v>1252.08</v>
      </c>
      <c r="K35" s="29" t="n">
        <v>166.76</v>
      </c>
      <c r="L35" s="29" t="n">
        <v>552.77</v>
      </c>
      <c r="M35" s="29" t="n">
        <v>1232.86</v>
      </c>
      <c r="N35" s="29" t="n">
        <v>1475.59</v>
      </c>
      <c r="O35" s="29" t="n">
        <v>1357.72</v>
      </c>
      <c r="P35" s="29" t="n">
        <v>1333.26</v>
      </c>
    </row>
    <row r="36" customFormat="false" ht="15" hidden="false" customHeight="false" outlineLevel="0" collapsed="false">
      <c r="A36" s="28" t="n">
        <v>44501</v>
      </c>
      <c r="B36" s="29" t="n">
        <v>1153.99</v>
      </c>
      <c r="C36" s="29" t="n">
        <v>408.47</v>
      </c>
      <c r="D36" s="29" t="n">
        <v>304.44</v>
      </c>
      <c r="E36" s="29" t="n">
        <v>1030.82</v>
      </c>
      <c r="F36" s="29" t="n">
        <v>337.54</v>
      </c>
      <c r="G36" s="29" t="n">
        <v>685.15</v>
      </c>
      <c r="H36" s="29" t="n">
        <v>267.62</v>
      </c>
      <c r="I36" s="29" t="n">
        <v>662.11</v>
      </c>
      <c r="J36" s="29" t="n">
        <v>1271.16</v>
      </c>
      <c r="K36" s="29" t="n">
        <v>175.23</v>
      </c>
      <c r="L36" s="29" t="n">
        <v>594</v>
      </c>
      <c r="M36" s="29" t="n">
        <v>1231.87</v>
      </c>
      <c r="N36" s="29" t="n">
        <v>1571.15</v>
      </c>
      <c r="O36" s="29" t="n">
        <v>1385.3</v>
      </c>
      <c r="P36" s="29" t="n">
        <v>1353.67</v>
      </c>
    </row>
    <row r="37" customFormat="false" ht="15" hidden="false" customHeight="false" outlineLevel="0" collapsed="false">
      <c r="A37" s="28" t="n">
        <v>44531</v>
      </c>
      <c r="B37" s="29" t="n">
        <v>1088.14</v>
      </c>
      <c r="C37" s="29" t="n">
        <v>422.94</v>
      </c>
      <c r="D37" s="29" t="n">
        <v>309.6</v>
      </c>
      <c r="E37" s="29" t="n">
        <v>1023</v>
      </c>
      <c r="F37" s="29" t="n">
        <v>337.88</v>
      </c>
      <c r="G37" s="29" t="n">
        <v>654.33</v>
      </c>
      <c r="H37" s="29" t="n">
        <v>213.03</v>
      </c>
      <c r="I37" s="29" t="n">
        <v>690.64</v>
      </c>
      <c r="J37" s="29" t="n">
        <v>1238.1</v>
      </c>
      <c r="K37" s="29" t="n">
        <v>163.08</v>
      </c>
      <c r="L37" s="29" t="n">
        <v>480</v>
      </c>
      <c r="M37" s="29" t="n">
        <v>1240.96</v>
      </c>
      <c r="N37" s="29" t="n">
        <v>1597.69</v>
      </c>
      <c r="O37" s="29" t="n">
        <v>1375.45</v>
      </c>
      <c r="P37" s="29" t="n">
        <v>1324.01</v>
      </c>
    </row>
    <row r="38" customFormat="false" ht="15" hidden="false" customHeight="false" outlineLevel="0" collapsed="false">
      <c r="A38" s="28" t="n">
        <v>44562</v>
      </c>
      <c r="B38" s="29" t="n">
        <v>1126.97</v>
      </c>
      <c r="C38" s="29" t="n">
        <v>410.21</v>
      </c>
      <c r="D38" s="29" t="n">
        <v>311.03</v>
      </c>
      <c r="E38" s="29" t="n">
        <v>956</v>
      </c>
      <c r="F38" s="29" t="n">
        <v>341.79</v>
      </c>
      <c r="G38" s="29" t="n">
        <v>673.38</v>
      </c>
      <c r="H38" s="29" t="n">
        <v>229.96</v>
      </c>
      <c r="I38" s="29" t="n">
        <v>691.31</v>
      </c>
      <c r="J38" s="29" t="n">
        <v>1245.13</v>
      </c>
      <c r="K38" s="29" t="n">
        <v>162.61</v>
      </c>
      <c r="L38" s="29" t="n">
        <v>534</v>
      </c>
      <c r="M38" s="29" t="n">
        <v>1314.56</v>
      </c>
      <c r="N38" s="29" t="n">
        <v>1600.71</v>
      </c>
      <c r="O38" s="29" t="n">
        <v>1486.32</v>
      </c>
      <c r="P38" s="29" t="n">
        <v>1429.54</v>
      </c>
    </row>
    <row r="39" customFormat="false" ht="15" hidden="false" customHeight="false" outlineLevel="0" collapsed="false">
      <c r="A39" s="28" t="n">
        <v>44593</v>
      </c>
      <c r="B39" s="29" t="n">
        <v>1139.4</v>
      </c>
      <c r="C39" s="29" t="n">
        <v>409.48</v>
      </c>
      <c r="D39" s="29" t="n">
        <v>315.15</v>
      </c>
      <c r="E39" s="29" t="n">
        <v>956</v>
      </c>
      <c r="F39" s="29" t="n">
        <v>338.62</v>
      </c>
      <c r="G39" s="29" t="n">
        <v>678</v>
      </c>
      <c r="H39" s="29" t="n">
        <v>236.72</v>
      </c>
      <c r="I39" s="29" t="n">
        <v>688.64</v>
      </c>
      <c r="J39" s="29" t="n">
        <v>1275.22</v>
      </c>
      <c r="K39" s="29" t="n">
        <v>160.56</v>
      </c>
      <c r="L39" s="29" t="n">
        <v>534</v>
      </c>
      <c r="M39" s="29" t="n">
        <v>1313.4</v>
      </c>
      <c r="N39" s="29" t="n">
        <v>1597.67</v>
      </c>
      <c r="O39" s="29" t="n">
        <v>1511.63</v>
      </c>
      <c r="P39" s="29" t="n">
        <v>1451.36</v>
      </c>
    </row>
    <row r="40" customFormat="false" ht="15" hidden="false" customHeight="false" outlineLevel="0" collapsed="false">
      <c r="A40" s="28" t="n">
        <v>44621</v>
      </c>
      <c r="B40" s="29" t="n">
        <v>1195.01</v>
      </c>
      <c r="C40" s="29" t="n">
        <v>409.3</v>
      </c>
      <c r="D40" s="29" t="n">
        <v>315.95</v>
      </c>
      <c r="E40" s="29" t="n">
        <v>966.87</v>
      </c>
      <c r="F40" s="29" t="n">
        <v>336.29</v>
      </c>
      <c r="G40" s="29" t="n">
        <v>688.39</v>
      </c>
      <c r="H40" s="29" t="n">
        <v>258.68</v>
      </c>
      <c r="I40" s="29" t="n">
        <v>665.35</v>
      </c>
      <c r="J40" s="29" t="n">
        <v>1300.27</v>
      </c>
      <c r="K40" s="29" t="n">
        <v>170.6</v>
      </c>
      <c r="L40" s="29" t="n">
        <v>577.84</v>
      </c>
      <c r="M40" s="29" t="n">
        <v>1376.68</v>
      </c>
      <c r="N40" s="29" t="n">
        <v>1571.88</v>
      </c>
      <c r="O40" s="29" t="n">
        <v>1578.76</v>
      </c>
      <c r="P40" s="29" t="n">
        <v>1501.4</v>
      </c>
    </row>
    <row r="41" customFormat="false" ht="15" hidden="false" customHeight="false" outlineLevel="0" collapsed="false">
      <c r="A41" s="28" t="n">
        <v>44652</v>
      </c>
      <c r="B41" s="29" t="n">
        <v>1167.41</v>
      </c>
      <c r="C41" s="29" t="n">
        <v>412.59</v>
      </c>
      <c r="D41" s="29" t="n">
        <v>306.44</v>
      </c>
      <c r="E41" s="29" t="n">
        <v>967.13</v>
      </c>
      <c r="F41" s="29" t="n">
        <v>334.58</v>
      </c>
      <c r="G41" s="29" t="n">
        <v>646.27</v>
      </c>
      <c r="H41" s="29" t="n">
        <v>245.42</v>
      </c>
      <c r="I41" s="29" t="n">
        <v>664.8</v>
      </c>
      <c r="J41" s="29" t="n">
        <v>1267.79</v>
      </c>
      <c r="K41" s="29" t="n">
        <v>158.8</v>
      </c>
      <c r="L41" s="29" t="n">
        <v>529.93</v>
      </c>
      <c r="M41" s="29" t="n">
        <v>1347.14</v>
      </c>
      <c r="N41" s="29" t="n">
        <v>1615.19</v>
      </c>
      <c r="O41" s="29" t="n">
        <v>1553</v>
      </c>
      <c r="P41" s="29" t="n">
        <v>1492.83</v>
      </c>
    </row>
    <row r="42" customFormat="false" ht="15" hidden="false" customHeight="false" outlineLevel="0" collapsed="false">
      <c r="A42" s="28" t="n">
        <v>44682</v>
      </c>
      <c r="B42" s="29" t="n">
        <v>1160.86</v>
      </c>
      <c r="C42" s="29" t="n">
        <v>412.42</v>
      </c>
      <c r="D42" s="29" t="n">
        <v>305.03</v>
      </c>
      <c r="E42" s="29" t="n">
        <v>932.29</v>
      </c>
      <c r="F42" s="29" t="n">
        <v>342.96</v>
      </c>
      <c r="G42" s="29" t="n">
        <v>699.75</v>
      </c>
      <c r="H42" s="29" t="n">
        <v>294.09</v>
      </c>
      <c r="I42" s="29" t="n">
        <v>669.97</v>
      </c>
      <c r="J42" s="29" t="n">
        <v>1271.55</v>
      </c>
      <c r="K42" s="29" t="n">
        <v>165.13</v>
      </c>
      <c r="L42" s="29" t="n">
        <v>615.06</v>
      </c>
      <c r="M42" s="29" t="n">
        <v>1381.48</v>
      </c>
      <c r="N42" s="29" t="n">
        <v>1591.54</v>
      </c>
      <c r="O42" s="29" t="n">
        <v>1571.23</v>
      </c>
      <c r="P42" s="29" t="n">
        <v>1509.03</v>
      </c>
    </row>
    <row r="43" customFormat="false" ht="15" hidden="false" customHeight="false" outlineLevel="0" collapsed="false">
      <c r="A43" s="28" t="n">
        <v>44713</v>
      </c>
      <c r="B43" s="29" t="n">
        <v>1196.31</v>
      </c>
      <c r="C43" s="29" t="n">
        <v>423.2</v>
      </c>
      <c r="D43" s="29" t="n">
        <v>304.64</v>
      </c>
      <c r="E43" s="29" t="n">
        <v>932.7</v>
      </c>
      <c r="F43" s="29" t="n">
        <v>354.39</v>
      </c>
      <c r="G43" s="29" t="n">
        <v>685.31</v>
      </c>
      <c r="H43" s="29" t="n">
        <v>300.6</v>
      </c>
      <c r="I43" s="29" t="n">
        <v>675.15</v>
      </c>
      <c r="J43" s="29" t="n">
        <v>1287.13</v>
      </c>
      <c r="K43" s="29" t="n">
        <v>180.66</v>
      </c>
      <c r="L43" s="29" t="n">
        <v>708</v>
      </c>
      <c r="M43" s="29" t="n">
        <v>1303.16</v>
      </c>
      <c r="N43" s="29" t="n">
        <v>1620.96</v>
      </c>
      <c r="O43" s="29" t="n">
        <v>1665.85</v>
      </c>
      <c r="P43" s="29" t="n">
        <v>1580.62</v>
      </c>
    </row>
    <row r="44" customFormat="false" ht="15" hidden="false" customHeight="false" outlineLevel="0" collapsed="false">
      <c r="A44" s="28" t="n">
        <v>44743</v>
      </c>
      <c r="B44" s="29" t="n">
        <v>1138.39</v>
      </c>
      <c r="C44" s="29" t="n">
        <v>416.2</v>
      </c>
      <c r="D44" s="29" t="n">
        <v>306.78</v>
      </c>
      <c r="E44" s="29" t="n">
        <v>941.67</v>
      </c>
      <c r="F44" s="29" t="n">
        <v>346.62</v>
      </c>
      <c r="G44" s="29" t="n">
        <v>717.73</v>
      </c>
      <c r="H44" s="29" t="n">
        <v>304.2</v>
      </c>
      <c r="I44" s="29" t="n">
        <v>680.11</v>
      </c>
      <c r="J44" s="29" t="n">
        <v>1262.96</v>
      </c>
      <c r="K44" s="29" t="n">
        <v>168.21</v>
      </c>
      <c r="L44" s="29" t="n">
        <v>692.87</v>
      </c>
      <c r="M44" s="29" t="n">
        <v>1381.74</v>
      </c>
      <c r="N44" s="29" t="n">
        <v>1653.21</v>
      </c>
      <c r="O44" s="29" t="n">
        <v>1658</v>
      </c>
      <c r="P44" s="29" t="n">
        <v>1580.99</v>
      </c>
    </row>
    <row r="45" customFormat="false" ht="15" hidden="false" customHeight="false" outlineLevel="0" collapsed="false">
      <c r="A45" s="28" t="n">
        <v>44774</v>
      </c>
      <c r="B45" s="29" t="n">
        <v>1091.18</v>
      </c>
      <c r="C45" s="29" t="n">
        <v>412.82</v>
      </c>
      <c r="D45" s="29" t="n">
        <v>302.54</v>
      </c>
      <c r="E45" s="29" t="n">
        <v>941.17</v>
      </c>
      <c r="F45" s="29" t="n">
        <v>339.05</v>
      </c>
      <c r="G45" s="29" t="n">
        <v>659.39</v>
      </c>
      <c r="H45" s="29" t="n">
        <v>245.09</v>
      </c>
      <c r="I45" s="29" t="n">
        <v>681.93</v>
      </c>
      <c r="J45" s="29" t="n">
        <v>1250.45</v>
      </c>
      <c r="K45" s="29" t="n">
        <v>159.06</v>
      </c>
      <c r="L45" s="29" t="n">
        <v>566.04</v>
      </c>
      <c r="M45" s="29" t="n">
        <v>1403.42</v>
      </c>
      <c r="N45" s="29" t="n">
        <v>1680.85</v>
      </c>
      <c r="O45" s="29" t="n">
        <v>1539.11</v>
      </c>
      <c r="P45" s="29" t="n">
        <v>1476.7</v>
      </c>
    </row>
    <row r="46" customFormat="false" ht="15" hidden="false" customHeight="false" outlineLevel="0" collapsed="false">
      <c r="A46" s="28" t="n">
        <v>44805</v>
      </c>
      <c r="B46" s="29" t="n">
        <v>1099.45</v>
      </c>
      <c r="C46" s="29" t="n">
        <v>400.74</v>
      </c>
      <c r="D46" s="29" t="n">
        <v>291.15</v>
      </c>
      <c r="E46" s="29" t="n">
        <v>891.17</v>
      </c>
      <c r="F46" s="29" t="n">
        <v>334.74</v>
      </c>
      <c r="G46" s="29" t="n">
        <v>603.29</v>
      </c>
      <c r="H46" s="29" t="n">
        <v>298.03</v>
      </c>
      <c r="I46" s="29" t="n">
        <v>703.82</v>
      </c>
      <c r="J46" s="29" t="n">
        <v>1176.33</v>
      </c>
      <c r="K46" s="29" t="n">
        <v>176.72</v>
      </c>
      <c r="L46" s="29" t="n">
        <v>694.9</v>
      </c>
      <c r="M46" s="29" t="n">
        <v>1518.36</v>
      </c>
      <c r="N46" s="29" t="n">
        <v>1696.84</v>
      </c>
      <c r="O46" s="29" t="n">
        <v>1745.14</v>
      </c>
      <c r="P46" s="29" t="n">
        <v>1649.54</v>
      </c>
    </row>
    <row r="47" customFormat="false" ht="15" hidden="false" customHeight="false" outlineLevel="0" collapsed="false">
      <c r="A47" s="28" t="n">
        <v>44835</v>
      </c>
      <c r="B47" s="29" t="n">
        <v>1080.4</v>
      </c>
      <c r="C47" s="29" t="n">
        <v>405.18</v>
      </c>
      <c r="D47" s="29" t="n">
        <v>289.63</v>
      </c>
      <c r="E47" s="29" t="n">
        <v>931.48</v>
      </c>
      <c r="F47" s="29" t="n">
        <v>333.59</v>
      </c>
      <c r="G47" s="29" t="n">
        <v>617.49</v>
      </c>
      <c r="H47" s="29" t="n">
        <v>290.73</v>
      </c>
      <c r="I47" s="29" t="n">
        <v>745.92</v>
      </c>
      <c r="J47" s="29" t="n">
        <v>1147.59</v>
      </c>
      <c r="K47" s="29" t="n">
        <v>178.6</v>
      </c>
      <c r="L47" s="29" t="n">
        <v>749.65</v>
      </c>
      <c r="M47" s="29" t="n">
        <v>1534.95</v>
      </c>
      <c r="N47" s="29" t="n">
        <v>1738.85</v>
      </c>
      <c r="O47" s="29" t="n">
        <v>1689.53</v>
      </c>
      <c r="P47" s="29" t="n">
        <v>1616.78</v>
      </c>
    </row>
    <row r="48" customFormat="false" ht="15" hidden="false" customHeight="false" outlineLevel="0" collapsed="false">
      <c r="A48" s="28" t="n">
        <v>44866</v>
      </c>
      <c r="B48" s="29" t="n">
        <v>1057.84</v>
      </c>
      <c r="C48" s="29" t="n">
        <v>425.67</v>
      </c>
      <c r="D48" s="29" t="n">
        <v>299.4</v>
      </c>
      <c r="E48" s="29" t="n">
        <v>963.77</v>
      </c>
      <c r="F48" s="29" t="n">
        <v>335.58</v>
      </c>
      <c r="G48" s="29" t="n">
        <v>704.78</v>
      </c>
      <c r="H48" s="29" t="n">
        <v>319.97</v>
      </c>
      <c r="I48" s="29" t="n">
        <v>825.51</v>
      </c>
      <c r="J48" s="29" t="n">
        <v>1179.5</v>
      </c>
      <c r="K48" s="29" t="n">
        <v>168.73</v>
      </c>
      <c r="L48" s="29" t="n">
        <v>803.43</v>
      </c>
      <c r="M48" s="29" t="n">
        <v>1801.34</v>
      </c>
      <c r="N48" s="29" t="n">
        <v>1901.7</v>
      </c>
      <c r="O48" s="29" t="n">
        <v>1808.49</v>
      </c>
      <c r="P48" s="29" t="n">
        <v>1747.15</v>
      </c>
    </row>
    <row r="49" customFormat="false" ht="15" hidden="false" customHeight="false" outlineLevel="0" collapsed="false">
      <c r="A49" s="28" t="n">
        <v>44896</v>
      </c>
      <c r="B49" s="29" t="n">
        <v>1061.86</v>
      </c>
      <c r="C49" s="29" t="n">
        <v>423.34</v>
      </c>
      <c r="D49" s="29" t="n">
        <v>280.16</v>
      </c>
      <c r="E49" s="29" t="n">
        <v>928.55</v>
      </c>
      <c r="F49" s="29" t="n">
        <v>343.11</v>
      </c>
      <c r="G49" s="29" t="n">
        <v>734.62</v>
      </c>
      <c r="H49" s="29" t="n">
        <v>355.65</v>
      </c>
      <c r="I49" s="29" t="n">
        <v>824.03</v>
      </c>
      <c r="J49" s="29" t="n">
        <v>1153.08</v>
      </c>
      <c r="K49" s="29" t="n">
        <v>157.02</v>
      </c>
      <c r="L49" s="29" t="n">
        <v>855.87</v>
      </c>
      <c r="M49" s="29" t="n">
        <v>1953.11</v>
      </c>
      <c r="N49" s="29" t="n">
        <v>2052.92</v>
      </c>
      <c r="O49" s="29" t="n">
        <v>1960.33</v>
      </c>
      <c r="P49" s="29" t="n">
        <v>1885.63</v>
      </c>
    </row>
    <row r="50" customFormat="false" ht="15" hidden="false" customHeight="false" outlineLevel="0" collapsed="false">
      <c r="A50" s="28" t="n">
        <v>44927</v>
      </c>
      <c r="B50" s="29" t="n">
        <v>1077.85</v>
      </c>
      <c r="C50" s="29" t="n">
        <v>424.8</v>
      </c>
      <c r="D50" s="29" t="n">
        <v>288.25</v>
      </c>
      <c r="E50" s="29" t="n">
        <v>924</v>
      </c>
      <c r="F50" s="29" t="n">
        <v>342.47</v>
      </c>
      <c r="G50" s="29" t="n">
        <v>792.75</v>
      </c>
      <c r="H50" s="29" t="n">
        <v>368.95</v>
      </c>
      <c r="I50" s="29" t="n">
        <v>832.12</v>
      </c>
      <c r="J50" s="29" t="n">
        <v>1168.88</v>
      </c>
      <c r="K50" s="29" t="n">
        <v>155.11</v>
      </c>
      <c r="L50" s="29" t="n">
        <v>852</v>
      </c>
      <c r="M50" s="29" t="n">
        <v>1997.92</v>
      </c>
      <c r="N50" s="29" t="n">
        <v>2068.4</v>
      </c>
      <c r="O50" s="29" t="n">
        <v>1970.31</v>
      </c>
      <c r="P50" s="29" t="n">
        <v>1884.77</v>
      </c>
    </row>
    <row r="51" customFormat="false" ht="15" hidden="false" customHeight="false" outlineLevel="0" collapsed="false">
      <c r="A51" s="28" t="n">
        <v>44958</v>
      </c>
      <c r="B51" s="29" t="n">
        <v>961.37</v>
      </c>
      <c r="C51" s="29" t="n">
        <v>435.3</v>
      </c>
      <c r="D51" s="29" t="n">
        <v>285.88</v>
      </c>
      <c r="E51" s="29" t="n">
        <v>937.63</v>
      </c>
      <c r="F51" s="29" t="n">
        <v>350.51</v>
      </c>
      <c r="G51" s="29" t="n">
        <v>682.44</v>
      </c>
      <c r="H51" s="29" t="n">
        <v>326.75</v>
      </c>
      <c r="I51" s="29" t="n">
        <v>972.41</v>
      </c>
      <c r="J51" s="29" t="n">
        <v>1206.7</v>
      </c>
      <c r="K51" s="29" t="n">
        <v>167.21</v>
      </c>
      <c r="L51" s="29" t="n">
        <v>784.55</v>
      </c>
      <c r="M51" s="29" t="n">
        <v>1964.81</v>
      </c>
      <c r="N51" s="29" t="n">
        <v>1979.73</v>
      </c>
      <c r="O51" s="29" t="n">
        <v>1847.11</v>
      </c>
      <c r="P51" s="29" t="n">
        <v>1778.85</v>
      </c>
    </row>
    <row r="52" customFormat="false" ht="15" hidden="false" customHeight="false" outlineLevel="0" collapsed="false">
      <c r="A52" s="28" t="n">
        <v>44986</v>
      </c>
      <c r="B52" s="29" t="n">
        <v>1149.57</v>
      </c>
      <c r="C52" s="29" t="n">
        <v>447.4</v>
      </c>
      <c r="D52" s="29" t="n">
        <v>313.86</v>
      </c>
      <c r="E52" s="29" t="n">
        <v>984.19</v>
      </c>
      <c r="F52" s="29" t="n">
        <v>369.35</v>
      </c>
      <c r="G52" s="29" t="n">
        <v>731.4</v>
      </c>
      <c r="H52" s="29" t="n">
        <v>337.76</v>
      </c>
      <c r="I52" s="29" t="n">
        <v>924.73</v>
      </c>
      <c r="J52" s="29" t="n">
        <v>1243.43</v>
      </c>
      <c r="K52" s="29" t="n">
        <v>175.64</v>
      </c>
      <c r="L52" s="29" t="n">
        <v>797.38</v>
      </c>
      <c r="M52" s="29" t="n">
        <v>1892.67</v>
      </c>
      <c r="N52" s="29" t="n">
        <v>1854.37</v>
      </c>
      <c r="O52" s="29" t="n">
        <v>1840.95</v>
      </c>
      <c r="P52" s="29" t="n">
        <v>1779</v>
      </c>
    </row>
    <row r="53" customFormat="false" ht="15" hidden="false" customHeight="false" outlineLevel="0" collapsed="false">
      <c r="A53" s="28" t="n">
        <v>45017</v>
      </c>
      <c r="B53" s="29" t="n">
        <v>1159.07</v>
      </c>
      <c r="C53" s="29" t="n">
        <v>466.37</v>
      </c>
      <c r="D53" s="29" t="n">
        <v>317.47</v>
      </c>
      <c r="E53" s="29" t="n">
        <v>1007.79</v>
      </c>
      <c r="F53" s="29" t="n">
        <v>391.21</v>
      </c>
      <c r="G53" s="29" t="n">
        <v>786.05</v>
      </c>
      <c r="H53" s="29" t="n">
        <v>347.61</v>
      </c>
      <c r="I53" s="29" t="n">
        <v>988.3</v>
      </c>
      <c r="J53" s="29" t="n">
        <v>1294.94</v>
      </c>
      <c r="K53" s="29" t="n">
        <v>189.57</v>
      </c>
      <c r="L53" s="29" t="n">
        <v>829.46</v>
      </c>
      <c r="M53" s="29" t="n">
        <v>2020.63</v>
      </c>
      <c r="N53" s="29" t="n">
        <v>1966.29</v>
      </c>
      <c r="O53" s="29" t="n">
        <v>1818.56</v>
      </c>
      <c r="P53" s="29" t="n">
        <v>1780.43</v>
      </c>
    </row>
    <row r="54" customFormat="false" ht="15" hidden="false" customHeight="false" outlineLevel="0" collapsed="false">
      <c r="A54" s="28" t="n">
        <v>45047</v>
      </c>
      <c r="B54" s="29" t="n">
        <v>1346.1</v>
      </c>
      <c r="C54" s="29" t="n">
        <v>466.76</v>
      </c>
      <c r="D54" s="29" t="n">
        <v>336.77</v>
      </c>
      <c r="E54" s="29" t="n">
        <v>1040.1</v>
      </c>
      <c r="F54" s="29" t="n">
        <v>397.98</v>
      </c>
      <c r="G54" s="29" t="n">
        <v>833.81</v>
      </c>
      <c r="H54" s="29" t="n">
        <v>357.56</v>
      </c>
      <c r="I54" s="29" t="n">
        <v>858.36</v>
      </c>
      <c r="J54" s="29" t="n">
        <v>1326.28</v>
      </c>
      <c r="K54" s="29" t="n">
        <v>167.94</v>
      </c>
      <c r="L54" s="29" t="n">
        <v>849.17</v>
      </c>
      <c r="M54" s="29" t="n">
        <v>2001.94</v>
      </c>
      <c r="N54" s="29" t="n">
        <v>1932.89</v>
      </c>
      <c r="O54" s="29" t="n">
        <v>1867.24</v>
      </c>
      <c r="P54" s="29" t="n">
        <v>1829.04</v>
      </c>
    </row>
    <row r="55" customFormat="false" ht="15" hidden="false" customHeight="false" outlineLevel="0" collapsed="false">
      <c r="A55" s="28" t="n">
        <v>45078</v>
      </c>
      <c r="B55" s="29" t="n">
        <v>1426.65</v>
      </c>
      <c r="C55" s="29" t="n">
        <v>489.23</v>
      </c>
      <c r="D55" s="29" t="n">
        <v>358.91</v>
      </c>
      <c r="E55" s="29" t="n">
        <v>1099.99</v>
      </c>
      <c r="F55" s="29" t="n">
        <v>439.12</v>
      </c>
      <c r="G55" s="29" t="n">
        <v>869.35</v>
      </c>
      <c r="H55" s="29" t="n">
        <v>375.17</v>
      </c>
      <c r="I55" s="29" t="n">
        <v>1016.57</v>
      </c>
      <c r="J55" s="29" t="n">
        <v>1419.9</v>
      </c>
      <c r="K55" s="29" t="n">
        <v>199.3</v>
      </c>
      <c r="L55" s="29" t="n">
        <v>889.65</v>
      </c>
      <c r="M55" s="29" t="n">
        <v>2249.87</v>
      </c>
      <c r="N55" s="29" t="n">
        <v>2064.02</v>
      </c>
      <c r="O55" s="29" t="n">
        <v>2143.79</v>
      </c>
      <c r="P55" s="29" t="n">
        <v>2060.64</v>
      </c>
    </row>
    <row r="56" customFormat="false" ht="15" hidden="false" customHeight="false" outlineLevel="0" collapsed="false">
      <c r="A56" s="28" t="n">
        <v>45108</v>
      </c>
      <c r="B56" s="29" t="n">
        <v>1617.26</v>
      </c>
      <c r="C56" s="29" t="n">
        <v>533.24</v>
      </c>
      <c r="D56" s="29" t="n">
        <v>392.84</v>
      </c>
      <c r="E56" s="29" t="n">
        <v>1329.25</v>
      </c>
      <c r="F56" s="29" t="n">
        <v>478.9</v>
      </c>
      <c r="G56" s="29" t="n">
        <v>1063.24</v>
      </c>
      <c r="H56" s="29" t="n">
        <v>446.89</v>
      </c>
      <c r="I56" s="29" t="n">
        <v>1083.77</v>
      </c>
      <c r="J56" s="29" t="n">
        <v>1455.35</v>
      </c>
      <c r="K56" s="29" t="n">
        <v>208.11</v>
      </c>
      <c r="L56" s="29" t="n">
        <v>1056.88</v>
      </c>
      <c r="M56" s="29" t="n">
        <v>2517.67</v>
      </c>
      <c r="N56" s="29" t="n">
        <v>2343.96</v>
      </c>
      <c r="O56" s="29" t="n">
        <v>2505.35</v>
      </c>
      <c r="P56" s="29" t="n">
        <v>2403.12</v>
      </c>
    </row>
    <row r="57" customFormat="false" ht="15" hidden="false" customHeight="false" outlineLevel="0" collapsed="false">
      <c r="A57" s="28" t="n">
        <v>45139</v>
      </c>
      <c r="B57" s="29" t="n">
        <v>1947.06</v>
      </c>
      <c r="C57" s="29" t="n">
        <v>581.94</v>
      </c>
      <c r="D57" s="29" t="n">
        <v>448.53</v>
      </c>
      <c r="E57" s="29" t="n">
        <v>1549.72</v>
      </c>
      <c r="F57" s="29" t="n">
        <v>522.44</v>
      </c>
      <c r="G57" s="29" t="n">
        <v>1128.57</v>
      </c>
      <c r="H57" s="29" t="n">
        <v>433.37</v>
      </c>
      <c r="I57" s="29" t="n">
        <v>1125.99</v>
      </c>
      <c r="J57" s="29" t="n">
        <v>1448.48</v>
      </c>
      <c r="K57" s="29" t="n">
        <v>214.62</v>
      </c>
      <c r="L57" s="29" t="n">
        <v>986.09</v>
      </c>
      <c r="M57" s="29" t="n">
        <v>2738.12</v>
      </c>
      <c r="N57" s="29" t="n">
        <v>2642.59</v>
      </c>
      <c r="O57" s="29" t="n">
        <v>2692.08</v>
      </c>
      <c r="P57" s="29" t="n">
        <v>2474</v>
      </c>
    </row>
    <row r="58" customFormat="false" ht="15" hidden="false" customHeight="false" outlineLevel="0" collapsed="false">
      <c r="A58" s="28" t="n">
        <v>45170</v>
      </c>
      <c r="B58" s="29" t="n">
        <v>1984.88</v>
      </c>
      <c r="C58" s="29" t="n">
        <v>598.14</v>
      </c>
      <c r="D58" s="29" t="n">
        <v>508.37</v>
      </c>
      <c r="E58" s="29" t="n">
        <v>1645.32</v>
      </c>
      <c r="F58" s="29" t="n">
        <v>525.47</v>
      </c>
      <c r="G58" s="29" t="n">
        <v>1356.48</v>
      </c>
      <c r="H58" s="29" t="n">
        <v>424.7</v>
      </c>
      <c r="I58" s="29" t="n">
        <v>1166.5</v>
      </c>
      <c r="J58" s="29" t="n">
        <v>1611.97</v>
      </c>
      <c r="K58" s="29" t="n">
        <v>241.29</v>
      </c>
      <c r="L58" s="29" t="n">
        <v>1024.41</v>
      </c>
      <c r="M58" s="29" t="n">
        <v>2728.7</v>
      </c>
      <c r="N58" s="29" t="n">
        <v>2722.57</v>
      </c>
      <c r="O58" s="29" t="n">
        <v>2659.97</v>
      </c>
      <c r="P58" s="29" t="n">
        <v>2426.28</v>
      </c>
    </row>
    <row r="59" customFormat="false" ht="15" hidden="false" customHeight="false" outlineLevel="0" collapsed="false">
      <c r="A59" s="28" t="n">
        <v>45200</v>
      </c>
      <c r="B59" s="29" t="n">
        <v>1968.07</v>
      </c>
      <c r="C59" s="29" t="n">
        <v>636.01</v>
      </c>
      <c r="D59" s="29" t="n">
        <v>498.97</v>
      </c>
      <c r="E59" s="29" t="n">
        <v>1641.98</v>
      </c>
      <c r="F59" s="29" t="n">
        <v>598.68</v>
      </c>
      <c r="G59" s="29" t="n">
        <v>1328.9</v>
      </c>
      <c r="H59" s="29" t="n">
        <v>502.17</v>
      </c>
      <c r="I59" s="29" t="n">
        <v>1305.69</v>
      </c>
      <c r="J59" s="29" t="n">
        <v>1846.12</v>
      </c>
      <c r="K59" s="29" t="n">
        <v>227.1</v>
      </c>
      <c r="L59" s="29" t="n">
        <v>1159.49</v>
      </c>
      <c r="M59" s="29" t="n">
        <v>2813.73</v>
      </c>
      <c r="N59" s="29" t="n">
        <v>2690.47</v>
      </c>
      <c r="O59" s="29" t="n">
        <v>2824.87</v>
      </c>
      <c r="P59" s="29" t="n">
        <v>2534.86</v>
      </c>
    </row>
    <row r="60" customFormat="false" ht="15" hidden="false" customHeight="false" outlineLevel="0" collapsed="false">
      <c r="A60" s="28" t="n">
        <v>45231</v>
      </c>
      <c r="B60" s="29" t="n">
        <v>1888.32</v>
      </c>
      <c r="C60" s="29" t="n">
        <v>688.84</v>
      </c>
      <c r="D60" s="29" t="n">
        <v>500.7</v>
      </c>
      <c r="E60" s="29" t="n">
        <v>1654.42</v>
      </c>
      <c r="F60" s="29" t="n">
        <v>626.02</v>
      </c>
      <c r="G60" s="29" t="n">
        <v>1279.48</v>
      </c>
      <c r="H60" s="29" t="n">
        <v>510.35</v>
      </c>
      <c r="I60" s="29" t="n">
        <v>1484.37</v>
      </c>
      <c r="J60" s="29" t="n">
        <v>2108.48</v>
      </c>
      <c r="K60" s="29" t="n">
        <v>273.68</v>
      </c>
      <c r="L60" s="29" t="n">
        <v>1295.15</v>
      </c>
      <c r="M60" s="29" t="n">
        <v>2810.09</v>
      </c>
      <c r="N60" s="29" t="n">
        <v>3025.69</v>
      </c>
      <c r="O60" s="29" t="n">
        <v>2854.81</v>
      </c>
      <c r="P60" s="29" t="n">
        <v>2725.06</v>
      </c>
    </row>
    <row r="61" customFormat="false" ht="15" hidden="false" customHeight="false" outlineLevel="0" collapsed="false">
      <c r="A61" s="28" t="n">
        <v>45261</v>
      </c>
      <c r="B61" s="29" t="n">
        <v>2269.08</v>
      </c>
      <c r="C61" s="29" t="n">
        <v>708.33</v>
      </c>
      <c r="D61" s="29" t="n">
        <v>499.58</v>
      </c>
      <c r="E61" s="29" t="n">
        <v>1634.04</v>
      </c>
      <c r="F61" s="29" t="n">
        <v>684.23</v>
      </c>
      <c r="G61" s="29" t="n">
        <v>1322.64</v>
      </c>
      <c r="H61" s="29" t="n">
        <v>601.2</v>
      </c>
      <c r="I61" s="29" t="n">
        <v>1470.66</v>
      </c>
      <c r="J61" s="29" t="n">
        <v>2242.01</v>
      </c>
      <c r="K61" s="29" t="n">
        <v>250.32</v>
      </c>
      <c r="L61" s="29" t="n">
        <v>1397.8</v>
      </c>
      <c r="M61" s="29" t="n">
        <v>2983.42</v>
      </c>
      <c r="N61" s="29" t="n">
        <v>3140.65</v>
      </c>
      <c r="O61" s="29" t="n">
        <v>3001.89</v>
      </c>
      <c r="P61" s="29" t="n">
        <v>2761.37</v>
      </c>
    </row>
    <row r="62" customFormat="false" ht="15" hidden="false" customHeight="false" outlineLevel="0" collapsed="false">
      <c r="A62" s="28" t="n">
        <v>45292</v>
      </c>
      <c r="B62" s="29" t="n">
        <v>2571.63</v>
      </c>
      <c r="C62" s="29" t="n">
        <v>733.3</v>
      </c>
      <c r="D62" s="29" t="n">
        <v>549.99</v>
      </c>
      <c r="E62" s="29" t="n">
        <v>1678.87</v>
      </c>
      <c r="F62" s="29" t="n">
        <v>661.19</v>
      </c>
      <c r="G62" s="29" t="n">
        <v>1438.49</v>
      </c>
      <c r="H62" s="29" t="n">
        <v>684.63</v>
      </c>
      <c r="I62" s="29" t="n">
        <v>1465.55</v>
      </c>
      <c r="J62" s="29" t="n">
        <v>2315.62</v>
      </c>
      <c r="K62" s="29" t="n">
        <v>277.72</v>
      </c>
      <c r="L62" s="29" t="n">
        <v>1461.19</v>
      </c>
      <c r="M62" s="29" t="n">
        <v>3041.3</v>
      </c>
      <c r="N62" s="29" t="n">
        <v>3266.31</v>
      </c>
      <c r="O62" s="29" t="n">
        <v>2978.74</v>
      </c>
      <c r="P62" s="29" t="n">
        <v>2881.24</v>
      </c>
    </row>
    <row r="63" customFormat="false" ht="15" hidden="false" customHeight="false" outlineLevel="0" collapsed="false">
      <c r="A63" s="28" t="n">
        <v>45323</v>
      </c>
      <c r="B63" s="29" t="n">
        <v>2674.75</v>
      </c>
      <c r="C63" s="29" t="n">
        <v>816.22</v>
      </c>
      <c r="D63" s="29" t="n">
        <v>618.45</v>
      </c>
      <c r="E63" s="29" t="n">
        <v>1769.46</v>
      </c>
      <c r="F63" s="29" t="n">
        <v>706.35</v>
      </c>
      <c r="G63" s="29" t="n">
        <v>1492.66</v>
      </c>
      <c r="H63" s="29" t="n">
        <v>785.44</v>
      </c>
      <c r="I63" s="29" t="n">
        <v>1817.86</v>
      </c>
      <c r="J63" s="29" t="n">
        <v>2603.32</v>
      </c>
      <c r="K63" s="29" t="n">
        <v>296.66</v>
      </c>
      <c r="L63" s="29" t="n">
        <v>1946.72</v>
      </c>
      <c r="M63" s="29" t="n">
        <v>3315</v>
      </c>
      <c r="N63" s="29" t="n">
        <v>3599</v>
      </c>
      <c r="O63" s="29" t="n">
        <v>3488.6</v>
      </c>
      <c r="P63" s="29" t="n">
        <v>3282.92</v>
      </c>
    </row>
    <row r="64" customFormat="false" ht="15" hidden="false" customHeight="false" outlineLevel="0" collapsed="false">
      <c r="A64" s="28" t="n">
        <v>45352</v>
      </c>
      <c r="B64" s="29" t="n">
        <v>2929.43</v>
      </c>
      <c r="C64" s="29" t="n">
        <v>836.49</v>
      </c>
      <c r="D64" s="29" t="n">
        <v>630.68</v>
      </c>
      <c r="E64" s="29" t="n">
        <v>1822.82</v>
      </c>
      <c r="F64" s="29" t="n">
        <v>817.7</v>
      </c>
      <c r="G64" s="29" t="n">
        <v>1533.3</v>
      </c>
      <c r="H64" s="29" t="n">
        <v>952.66</v>
      </c>
      <c r="I64" s="29" t="n">
        <v>1832.6</v>
      </c>
      <c r="J64" s="29" t="n">
        <v>2660.02</v>
      </c>
      <c r="K64" s="29" t="n">
        <v>310.6</v>
      </c>
      <c r="L64" s="29" t="n">
        <v>2361.58</v>
      </c>
      <c r="M64" s="29" t="n">
        <v>3512.65</v>
      </c>
      <c r="N64" s="29" t="n">
        <v>3917.48</v>
      </c>
      <c r="O64" s="29" t="n">
        <v>3939.13</v>
      </c>
      <c r="P64" s="29" t="n">
        <v>3682.38</v>
      </c>
    </row>
    <row r="65" customFormat="false" ht="15" hidden="false" customHeight="false" outlineLevel="0" collapsed="false">
      <c r="A65" s="28" t="n">
        <v>45383</v>
      </c>
      <c r="B65" s="29" t="n">
        <v>2962.37</v>
      </c>
      <c r="C65" s="29" t="n">
        <v>882.44</v>
      </c>
      <c r="D65" s="29" t="n">
        <v>690.25</v>
      </c>
      <c r="E65" s="29" t="n">
        <v>1852.89</v>
      </c>
      <c r="F65" s="29" t="n">
        <v>896.32</v>
      </c>
      <c r="G65" s="29" t="n">
        <v>1781.45</v>
      </c>
      <c r="H65" s="29" t="n">
        <v>946.73</v>
      </c>
      <c r="I65" s="29" t="n">
        <v>2267.75</v>
      </c>
      <c r="J65" s="29" t="n">
        <v>3005.82</v>
      </c>
      <c r="K65" s="29" t="n">
        <v>390.98</v>
      </c>
      <c r="L65" s="29" t="n">
        <v>2584.31</v>
      </c>
      <c r="M65" s="29" t="n">
        <v>3502.04</v>
      </c>
      <c r="N65" s="29" t="n">
        <v>4077.64</v>
      </c>
      <c r="O65" s="29" t="n">
        <v>3969.73</v>
      </c>
      <c r="P65" s="29" t="n">
        <v>3733.95</v>
      </c>
    </row>
    <row r="66" customFormat="false" ht="15" hidden="false" customHeight="false" outlineLevel="0" collapsed="false">
      <c r="A66" s="28" t="n">
        <v>45413</v>
      </c>
      <c r="B66" s="29" t="n">
        <v>3240.98</v>
      </c>
      <c r="C66" s="29" t="n">
        <v>1009.27</v>
      </c>
      <c r="D66" s="29" t="n">
        <v>722.06</v>
      </c>
      <c r="E66" s="29" t="n">
        <v>1984.13</v>
      </c>
      <c r="F66" s="29" t="n">
        <v>1041.68</v>
      </c>
      <c r="G66" s="29" t="n">
        <v>1736.27</v>
      </c>
      <c r="H66" s="29" t="n">
        <v>882.35</v>
      </c>
      <c r="I66" s="29" t="n">
        <v>1983.1</v>
      </c>
      <c r="J66" s="29" t="n">
        <v>2992.12</v>
      </c>
      <c r="K66" s="29" t="n">
        <v>325.34</v>
      </c>
      <c r="L66" s="29" t="n">
        <v>2591.71</v>
      </c>
      <c r="M66" s="29" t="n">
        <v>3598.56</v>
      </c>
      <c r="N66" s="29" t="n">
        <v>4168.34</v>
      </c>
      <c r="O66" s="29" t="n">
        <v>4194.91</v>
      </c>
      <c r="P66" s="29" t="n">
        <v>3907.22</v>
      </c>
    </row>
    <row r="67" customFormat="false" ht="15" hidden="false" customHeight="false" outlineLevel="0" collapsed="false">
      <c r="A67" s="28" t="n">
        <v>45444</v>
      </c>
      <c r="B67" s="29" t="n">
        <v>4008.99</v>
      </c>
      <c r="C67" s="29" t="n">
        <v>1147.31</v>
      </c>
      <c r="D67" s="29" t="n">
        <v>869.8</v>
      </c>
      <c r="E67" s="29" t="n">
        <v>2478.92</v>
      </c>
      <c r="F67" s="29" t="n">
        <v>1121.41</v>
      </c>
      <c r="G67" s="29" t="n">
        <v>2168.54</v>
      </c>
      <c r="H67" s="29" t="n">
        <v>1217.79</v>
      </c>
      <c r="I67" s="29" t="n">
        <v>2208.67</v>
      </c>
      <c r="J67" s="29" t="n">
        <v>3390.3</v>
      </c>
      <c r="K67" s="29" t="n">
        <v>384.54</v>
      </c>
      <c r="L67" s="29" t="n">
        <v>2957.69</v>
      </c>
      <c r="M67" s="29" t="n">
        <v>3771.3</v>
      </c>
      <c r="N67" s="29" t="n">
        <v>4547.79</v>
      </c>
      <c r="O67" s="29" t="n">
        <v>4504.16</v>
      </c>
      <c r="P67" s="29" t="n">
        <v>4180.22</v>
      </c>
    </row>
    <row r="68" customFormat="false" ht="15" hidden="false" customHeight="false" outlineLevel="0" collapsed="false">
      <c r="A68" s="28" t="n">
        <v>45474</v>
      </c>
      <c r="B68" s="29" t="n">
        <v>4254.76</v>
      </c>
      <c r="C68" s="29" t="n">
        <v>1208.77</v>
      </c>
      <c r="D68" s="29" t="n">
        <v>933.94</v>
      </c>
      <c r="E68" s="29" t="n">
        <v>2638.4</v>
      </c>
      <c r="F68" s="29" t="n">
        <v>1167.23</v>
      </c>
      <c r="G68" s="29" t="n">
        <v>2333.82</v>
      </c>
      <c r="H68" s="29" t="n">
        <v>980.13</v>
      </c>
      <c r="I68" s="29" t="n">
        <v>2282.13</v>
      </c>
      <c r="J68" s="29" t="n">
        <v>3436.06</v>
      </c>
      <c r="K68" s="29" t="n">
        <v>397.37</v>
      </c>
      <c r="L68" s="29" t="n">
        <v>2793.95</v>
      </c>
      <c r="M68" s="29" t="n">
        <v>3617.4</v>
      </c>
      <c r="N68" s="29" t="n">
        <v>4655.36</v>
      </c>
      <c r="O68" s="29" t="n">
        <v>4421.48</v>
      </c>
      <c r="P68" s="29" t="n">
        <v>4174.2</v>
      </c>
    </row>
    <row r="69" customFormat="false" ht="15" hidden="false" customHeight="false" outlineLevel="0" collapsed="false">
      <c r="A69" s="28" t="n">
        <v>45505</v>
      </c>
      <c r="B69" s="29" t="n">
        <v>4523.11</v>
      </c>
      <c r="C69" s="29" t="n">
        <v>1176.88</v>
      </c>
      <c r="D69" s="29" t="n">
        <v>954.01</v>
      </c>
      <c r="E69" s="29" t="n">
        <v>2680.69</v>
      </c>
      <c r="F69" s="29" t="n">
        <v>1137.7</v>
      </c>
      <c r="G69" s="29" t="n">
        <v>2225.79</v>
      </c>
      <c r="H69" s="29" t="n">
        <v>1061.67</v>
      </c>
      <c r="I69" s="29" t="n">
        <v>2383.84</v>
      </c>
      <c r="J69" s="29" t="n">
        <v>3264.85</v>
      </c>
      <c r="K69" s="29" t="n">
        <v>465.51</v>
      </c>
      <c r="L69" s="29" t="n">
        <v>2816.16</v>
      </c>
      <c r="M69" s="29" t="n">
        <v>3651.77</v>
      </c>
      <c r="N69" s="29" t="n">
        <v>4671.85</v>
      </c>
      <c r="O69" s="29" t="n">
        <v>4419</v>
      </c>
      <c r="P69" s="29" t="n">
        <v>4267.74</v>
      </c>
    </row>
    <row r="70" customFormat="false" ht="15" hidden="false" customHeight="false" outlineLevel="0" collapsed="false">
      <c r="A70" s="28" t="n">
        <v>45536</v>
      </c>
      <c r="B70" s="29" t="n">
        <v>4596.67</v>
      </c>
      <c r="C70" s="29" t="n">
        <v>1232.56</v>
      </c>
      <c r="D70" s="29" t="n">
        <v>946.62</v>
      </c>
      <c r="E70" s="29" t="n">
        <v>2642.84</v>
      </c>
      <c r="F70" s="29" t="n">
        <v>1161.18</v>
      </c>
      <c r="G70" s="29" t="n">
        <v>2136.7</v>
      </c>
      <c r="H70" s="29" t="n">
        <v>1066.36</v>
      </c>
      <c r="I70" s="29" t="n">
        <v>2366.99</v>
      </c>
      <c r="J70" s="29" t="n">
        <v>3095.71</v>
      </c>
      <c r="K70" s="29" t="n">
        <v>458.22</v>
      </c>
      <c r="L70" s="29" t="n">
        <v>2913.98</v>
      </c>
      <c r="M70" s="29" t="n">
        <v>3613.25</v>
      </c>
      <c r="N70" s="29" t="n">
        <v>5019.19</v>
      </c>
      <c r="O70" s="29" t="n">
        <v>4830.41</v>
      </c>
      <c r="P70" s="29" t="n">
        <v>4638.94</v>
      </c>
    </row>
    <row r="71" customFormat="false" ht="15" hidden="false" customHeight="false" outlineLevel="0" collapsed="false">
      <c r="A71" s="28" t="n">
        <v>45566</v>
      </c>
      <c r="B71" s="29" t="n">
        <v>3860.23</v>
      </c>
      <c r="C71" s="29" t="n">
        <v>1285.01</v>
      </c>
      <c r="D71" s="29" t="n">
        <v>913.17</v>
      </c>
      <c r="E71" s="29" t="n">
        <v>2462.09</v>
      </c>
      <c r="F71" s="29" t="n">
        <v>1219.3</v>
      </c>
      <c r="G71" s="29" t="n">
        <v>2063.01</v>
      </c>
      <c r="H71" s="29" t="n">
        <v>1012.64</v>
      </c>
      <c r="I71" s="29" t="n">
        <v>2594.51</v>
      </c>
      <c r="J71" s="29" t="n">
        <v>3226.25</v>
      </c>
      <c r="K71" s="29" t="n">
        <v>467.9</v>
      </c>
      <c r="L71" s="29" t="n">
        <v>2797.59</v>
      </c>
      <c r="M71" s="29" t="n">
        <v>3552.94</v>
      </c>
      <c r="N71" s="29" t="n">
        <v>5028.89</v>
      </c>
      <c r="O71" s="29" t="n">
        <v>5058.98</v>
      </c>
      <c r="P71" s="29" t="n">
        <v>4797.54</v>
      </c>
    </row>
    <row r="72" customFormat="false" ht="15" hidden="false" customHeight="false" outlineLevel="0" collapsed="false">
      <c r="A72" s="28" t="n">
        <v>45597</v>
      </c>
      <c r="B72" s="29" t="n">
        <v>3772.79</v>
      </c>
      <c r="C72" s="29" t="n">
        <v>1359.71</v>
      </c>
      <c r="D72" s="29" t="n">
        <v>895.3</v>
      </c>
      <c r="E72" s="29" t="n">
        <v>2426.94</v>
      </c>
      <c r="F72" s="29" t="n">
        <v>1245.83</v>
      </c>
      <c r="G72" s="29" t="n">
        <v>2012.57</v>
      </c>
      <c r="H72" s="29" t="n">
        <v>989.04</v>
      </c>
      <c r="I72" s="29" t="n">
        <v>2678.13</v>
      </c>
      <c r="J72" s="29" t="n">
        <v>3457.88</v>
      </c>
      <c r="K72" s="29" t="n">
        <v>436.28</v>
      </c>
      <c r="L72" s="29" t="n">
        <v>2910.44</v>
      </c>
      <c r="M72" s="29" t="n">
        <v>3544.34</v>
      </c>
      <c r="N72" s="29" t="n">
        <v>5033.85</v>
      </c>
      <c r="O72" s="29" t="n">
        <v>5212.15</v>
      </c>
      <c r="P72" s="29" t="n">
        <v>4821.95</v>
      </c>
    </row>
    <row r="73" customFormat="false" ht="15" hidden="false" customHeight="false" outlineLevel="0" collapsed="false">
      <c r="A73" s="28" t="n">
        <v>45627</v>
      </c>
      <c r="B73" s="29" t="n">
        <v>3553.2</v>
      </c>
      <c r="C73" s="29" t="n">
        <v>1342.96</v>
      </c>
      <c r="D73" s="29" t="n">
        <v>839.05</v>
      </c>
      <c r="E73" s="29" t="n">
        <v>2343.58</v>
      </c>
      <c r="F73" s="29" t="n">
        <v>1210.17</v>
      </c>
      <c r="G73" s="29" t="n">
        <v>2007.34</v>
      </c>
      <c r="H73" s="29" t="n">
        <v>1104.19</v>
      </c>
      <c r="I73" s="29" t="n">
        <v>2746.5</v>
      </c>
      <c r="J73" s="29" t="n">
        <v>3707.25</v>
      </c>
      <c r="K73" s="29" t="n">
        <v>461.09</v>
      </c>
      <c r="L73" s="29" t="n">
        <v>2824.64</v>
      </c>
      <c r="M73" s="29" t="n">
        <v>3828.2</v>
      </c>
      <c r="N73" s="29" t="n">
        <v>5504.51</v>
      </c>
      <c r="O73" s="29" t="n">
        <v>5573.58</v>
      </c>
      <c r="P73" s="29" t="n">
        <v>4988.9</v>
      </c>
    </row>
    <row r="74" customFormat="false" ht="15" hidden="false" customHeight="false" outlineLevel="0" collapsed="false">
      <c r="A74" s="28" t="n">
        <v>45658</v>
      </c>
      <c r="B74" s="29" t="n">
        <v>3548.9</v>
      </c>
      <c r="C74" s="29" t="n">
        <v>1388.75</v>
      </c>
      <c r="D74" s="29" t="n">
        <v>833.79</v>
      </c>
      <c r="E74" s="29" t="n">
        <v>2293.86</v>
      </c>
      <c r="F74" s="29" t="n">
        <v>1255.01</v>
      </c>
      <c r="G74" s="29" t="n">
        <v>2023.88</v>
      </c>
      <c r="H74" s="29" t="n">
        <v>1189.61</v>
      </c>
      <c r="I74" s="29" t="n">
        <v>2823.57</v>
      </c>
      <c r="J74" s="29" t="n">
        <v>3872.47</v>
      </c>
      <c r="K74" s="29" t="n">
        <v>471.95</v>
      </c>
      <c r="L74" s="29" t="n">
        <v>3039.17</v>
      </c>
      <c r="M74" s="29" t="n">
        <v>3948.97</v>
      </c>
      <c r="N74" s="29" t="n">
        <v>6294.68</v>
      </c>
      <c r="O74" s="29" t="n">
        <v>5963.24</v>
      </c>
      <c r="P74" s="29" t="n">
        <v>5368.09</v>
      </c>
    </row>
    <row r="75" customFormat="false" ht="15" hidden="false" customHeight="false" outlineLevel="0" collapsed="false">
      <c r="A75" s="28" t="n">
        <v>45689</v>
      </c>
      <c r="B75" s="29" t="n">
        <v>3495.55</v>
      </c>
      <c r="C75" s="29" t="n">
        <v>1426.88</v>
      </c>
      <c r="D75" s="29" t="n">
        <v>858.48</v>
      </c>
      <c r="E75" s="29" t="n">
        <v>2170.28</v>
      </c>
      <c r="F75" s="29" t="n">
        <v>1262.23</v>
      </c>
      <c r="G75" s="29" t="n">
        <v>1906.11</v>
      </c>
      <c r="H75" s="29" t="n">
        <v>1269.31</v>
      </c>
      <c r="I75" s="29" t="n">
        <v>2859.36</v>
      </c>
      <c r="J75" s="29" t="n">
        <v>3629.56</v>
      </c>
      <c r="K75" s="29" t="n">
        <v>496.99</v>
      </c>
      <c r="L75" s="29" t="n">
        <v>2997.33</v>
      </c>
      <c r="M75" s="29" t="n">
        <v>3963.77</v>
      </c>
      <c r="N75" s="29" t="n">
        <v>6060.46</v>
      </c>
      <c r="O75" s="29" t="n">
        <v>6034.89</v>
      </c>
      <c r="P75" s="29" t="n">
        <v>5379.09</v>
      </c>
    </row>
    <row r="76" customFormat="false" ht="15" hidden="false" customHeight="false" outlineLevel="0" collapsed="false">
      <c r="A76" s="28" t="n">
        <v>45717</v>
      </c>
      <c r="B76" s="29" t="n">
        <v>3240.57</v>
      </c>
      <c r="C76" s="29" t="n">
        <v>1468.1</v>
      </c>
      <c r="D76" s="29" t="n">
        <v>808.11</v>
      </c>
      <c r="E76" s="29" t="n">
        <v>1957.14</v>
      </c>
      <c r="F76" s="29" t="n">
        <v>1299.83</v>
      </c>
      <c r="G76" s="29" t="n">
        <v>1714.09</v>
      </c>
      <c r="H76" s="29" t="n">
        <v>1262.65</v>
      </c>
      <c r="I76" s="29" t="n">
        <v>2878.52</v>
      </c>
      <c r="J76" s="29" t="n">
        <v>3548.33</v>
      </c>
      <c r="K76" s="29" t="n">
        <v>499.01</v>
      </c>
      <c r="L76" s="29" t="n">
        <v>3157.43</v>
      </c>
      <c r="M76" s="29" t="n">
        <v>4101.54</v>
      </c>
      <c r="N76" s="29" t="n">
        <v>6085.59</v>
      </c>
      <c r="O76" s="29" t="n">
        <v>6144.65</v>
      </c>
      <c r="P76" s="29" t="n">
        <v>5438.37</v>
      </c>
    </row>
    <row r="77" customFormat="false" ht="15" hidden="false" customHeight="false" outlineLevel="0" collapsed="false">
      <c r="A77" s="28" t="n">
        <v>45748</v>
      </c>
      <c r="B77" s="29" t="n">
        <v>3003.84</v>
      </c>
      <c r="C77" s="29" t="n">
        <v>1485.62</v>
      </c>
      <c r="D77" s="29" t="n">
        <v>791.33</v>
      </c>
      <c r="E77" s="29" t="n">
        <v>1899.85</v>
      </c>
      <c r="F77" s="29" t="n">
        <v>1287.48</v>
      </c>
      <c r="G77" s="29" t="n">
        <v>1695.66</v>
      </c>
      <c r="H77" s="29" t="n">
        <v>1271.78</v>
      </c>
      <c r="I77" s="29" t="n">
        <v>2841.26</v>
      </c>
      <c r="J77" s="29" t="n">
        <v>3528.04</v>
      </c>
      <c r="K77" s="29" t="n">
        <v>513.49</v>
      </c>
      <c r="L77" s="29" t="n">
        <v>3046.32</v>
      </c>
      <c r="M77" s="29" t="n">
        <v>4113.51</v>
      </c>
      <c r="N77" s="29" t="n">
        <v>6004.84</v>
      </c>
      <c r="O77" s="29" t="n">
        <v>6142.26</v>
      </c>
      <c r="P77" s="29" t="n">
        <v>5472.62</v>
      </c>
    </row>
    <row r="78" customFormat="false" ht="15" hidden="false" customHeight="false" outlineLevel="0" collapsed="false">
      <c r="A78" s="28" t="n">
        <v>45778</v>
      </c>
      <c r="B78" s="29" t="n">
        <v>3147.84</v>
      </c>
      <c r="C78" s="29" t="n">
        <v>1500.33</v>
      </c>
      <c r="D78" s="29" t="n">
        <v>776.45</v>
      </c>
      <c r="E78" s="29" t="n">
        <v>1936.6</v>
      </c>
      <c r="F78" s="29" t="n">
        <v>1286.12</v>
      </c>
      <c r="G78" s="29" t="n">
        <v>1745.03</v>
      </c>
      <c r="H78" s="29" t="n">
        <v>1272.2</v>
      </c>
      <c r="I78" s="29" t="n">
        <v>2778.32</v>
      </c>
      <c r="J78" s="29" t="n">
        <v>3649.48</v>
      </c>
      <c r="K78" s="29" t="n">
        <v>497.36</v>
      </c>
      <c r="L78" s="29" t="n">
        <v>3127.04</v>
      </c>
      <c r="M78" s="29" t="n">
        <v>4043.1</v>
      </c>
      <c r="N78" s="29" t="n">
        <v>5920.6</v>
      </c>
      <c r="O78" s="29" t="n">
        <v>6284.69</v>
      </c>
      <c r="P78" s="29" t="n">
        <v>5448.39</v>
      </c>
    </row>
    <row r="79" customFormat="false" ht="15" hidden="false" customHeight="false" outlineLevel="0" collapsed="false">
      <c r="A79" s="28" t="n">
        <v>45809</v>
      </c>
      <c r="B79" s="29" t="n">
        <v>2987.99</v>
      </c>
      <c r="C79" s="29" t="n">
        <v>1448.91</v>
      </c>
      <c r="D79" s="29" t="n">
        <v>763.42</v>
      </c>
      <c r="E79" s="29" t="n">
        <v>1807.99</v>
      </c>
      <c r="F79" s="29" t="n">
        <v>1241.23</v>
      </c>
      <c r="G79" s="29" t="n">
        <v>1800.78</v>
      </c>
      <c r="H79" s="29" t="n">
        <v>1247.58</v>
      </c>
      <c r="I79" s="29" t="n">
        <v>2790.77</v>
      </c>
      <c r="J79" s="29" t="n">
        <v>3651.95</v>
      </c>
      <c r="K79" s="29" t="n">
        <v>495.99</v>
      </c>
      <c r="L79" s="29" t="n">
        <v>3004.37</v>
      </c>
      <c r="M79" s="29" t="n">
        <v>4138.99</v>
      </c>
      <c r="N79" s="29" t="n">
        <v>6339.28</v>
      </c>
      <c r="O79" s="29" t="n">
        <v>6199.58</v>
      </c>
      <c r="P79" s="29" t="n">
        <v>5333.37</v>
      </c>
    </row>
    <row r="80" customFormat="false" ht="15" hidden="false" customHeight="false" outlineLevel="0" collapsed="false">
      <c r="A80" s="28" t="n">
        <v>45839</v>
      </c>
      <c r="B80" s="29" t="n">
        <v>2635.35</v>
      </c>
      <c r="C80" s="29" t="n">
        <v>1524.34</v>
      </c>
      <c r="D80" s="29" t="n">
        <v>746.59</v>
      </c>
      <c r="E80" s="29" t="n">
        <v>1681.96</v>
      </c>
      <c r="F80" s="29" t="n">
        <v>1216.15</v>
      </c>
      <c r="G80" s="29" t="n">
        <v>1618.49</v>
      </c>
      <c r="H80" s="29" t="n">
        <v>1339.74</v>
      </c>
      <c r="I80" s="29" t="n">
        <v>2691.32</v>
      </c>
      <c r="J80" s="29" t="n">
        <v>3352.65</v>
      </c>
      <c r="K80" s="29" t="n">
        <v>505.21</v>
      </c>
      <c r="L80" s="29" t="n">
        <v>3021.93</v>
      </c>
      <c r="M80" s="29" t="n">
        <v>4072.07</v>
      </c>
      <c r="N80" s="29" t="n">
        <v>6451.78</v>
      </c>
      <c r="O80" s="29" t="n">
        <v>6534.63</v>
      </c>
      <c r="P80" s="29" t="n">
        <v>5572.99</v>
      </c>
    </row>
    <row r="81" customFormat="false" ht="15" hidden="false" customHeight="false" outlineLevel="0" collapsed="false">
      <c r="A81" s="28" t="n">
        <v>45870</v>
      </c>
      <c r="B81" s="29" t="n">
        <v>2488.58</v>
      </c>
      <c r="C81" s="29" t="n">
        <v>1432.97</v>
      </c>
      <c r="D81" s="29" t="n">
        <v>721.35</v>
      </c>
      <c r="E81" s="29" t="n">
        <v>1565.41</v>
      </c>
      <c r="F81" s="29" t="n">
        <v>1138.23</v>
      </c>
      <c r="G81" s="29" t="n">
        <v>1536.56</v>
      </c>
      <c r="H81" s="29" t="n">
        <v>1332.34</v>
      </c>
      <c r="I81" s="29" t="n">
        <v>2588.26</v>
      </c>
      <c r="J81" s="29" t="n">
        <v>3194.09</v>
      </c>
      <c r="K81" s="29" t="n">
        <v>481.13</v>
      </c>
      <c r="L81" s="29" t="n">
        <v>3005.17</v>
      </c>
      <c r="M81" s="29" t="n">
        <v>3973.06</v>
      </c>
      <c r="N81" s="29" t="n">
        <v>6194.28</v>
      </c>
      <c r="O81" s="29" t="n">
        <v>6068.74</v>
      </c>
      <c r="P81" s="29" t="n">
        <v>5261.93</v>
      </c>
    </row>
    <row r="82" customFormat="false" ht="15" hidden="false" customHeight="false" outlineLevel="0" collapsed="false">
      <c r="A82" s="28" t="n">
        <v>45901</v>
      </c>
      <c r="B82" s="29" t="n">
        <v>2310.77</v>
      </c>
      <c r="C82" s="29" t="n">
        <v>1306.02</v>
      </c>
      <c r="D82" s="29" t="n">
        <v>700.16</v>
      </c>
      <c r="E82" s="29" t="n">
        <v>1471.66</v>
      </c>
      <c r="F82" s="29" t="n">
        <v>1065.43</v>
      </c>
      <c r="G82" s="29" t="n">
        <v>1574.59</v>
      </c>
      <c r="H82" s="29" t="n">
        <v>1364.6</v>
      </c>
      <c r="I82" s="29" t="n">
        <v>2442.35</v>
      </c>
      <c r="J82" s="29" t="n">
        <v>3453.53</v>
      </c>
      <c r="K82" s="29" t="n">
        <v>426</v>
      </c>
      <c r="L82" s="29" t="n">
        <v>3015.99</v>
      </c>
      <c r="M82" s="29" t="n">
        <v>3844.01</v>
      </c>
      <c r="N82" s="29" t="n">
        <v>5469.63</v>
      </c>
      <c r="O82" s="29" t="n">
        <v>5923.46</v>
      </c>
      <c r="P82" s="29" t="n">
        <v>5020</v>
      </c>
    </row>
    <row r="83" customFormat="false" ht="15" hidden="false" customHeight="false" outlineLevel="0" collapsed="false">
      <c r="A83" s="28" t="n">
        <v>45931</v>
      </c>
      <c r="B83" s="29" t="n">
        <v>2322.77</v>
      </c>
      <c r="C83" s="29" t="n">
        <v>1273.68</v>
      </c>
      <c r="D83" s="29" t="n">
        <v>613.92</v>
      </c>
      <c r="E83" s="29" t="n">
        <v>1331.38</v>
      </c>
      <c r="F83" s="29" t="n">
        <v>1020.93</v>
      </c>
      <c r="G83" s="29" t="n">
        <v>1471.75</v>
      </c>
      <c r="H83" s="29" t="n">
        <v>1440.22</v>
      </c>
      <c r="I83" s="29" t="n">
        <v>2449.08</v>
      </c>
      <c r="J83" s="29" t="n">
        <v>3254.65</v>
      </c>
      <c r="K83" s="29" t="n">
        <v>314.74</v>
      </c>
      <c r="L83" s="29" t="n">
        <v>2364.85</v>
      </c>
      <c r="M83" s="29" t="n">
        <v>3459.04</v>
      </c>
      <c r="N83" s="29" t="n">
        <v>5194.88</v>
      </c>
      <c r="O83" s="29" t="n">
        <v>5105.13</v>
      </c>
      <c r="P83" s="29" t="n">
        <v>4570.57</v>
      </c>
    </row>
    <row r="84" customFormat="false" ht="15" hidden="false" customHeight="false" outlineLevel="0" collapsed="false">
      <c r="A84" s="28" t="n">
        <v>45962</v>
      </c>
      <c r="B84" s="29" t="n">
        <v>2118.83</v>
      </c>
      <c r="C84" s="29" t="n">
        <v>1158.17</v>
      </c>
      <c r="D84" s="29" t="n">
        <v>583.59</v>
      </c>
      <c r="E84" s="29" t="n">
        <v>1351.53</v>
      </c>
      <c r="F84" s="29" t="n">
        <v>982.53</v>
      </c>
      <c r="G84" s="29" t="n">
        <v>1386.14</v>
      </c>
      <c r="H84" s="29" t="n">
        <v>1516.67</v>
      </c>
      <c r="I84" s="29" t="n">
        <v>2326.61</v>
      </c>
      <c r="J84" s="29" t="n">
        <v>3158.34</v>
      </c>
      <c r="K84" s="29" t="n">
        <v>406.61</v>
      </c>
      <c r="L84" s="29" t="n">
        <v>2868.26</v>
      </c>
      <c r="M84" s="29" t="n">
        <v>3679.85</v>
      </c>
      <c r="N84" s="29" t="n">
        <v>5668.78</v>
      </c>
      <c r="O84" s="29" t="n">
        <v>6156.03</v>
      </c>
      <c r="P84" s="29" t="n">
        <v>5270.57</v>
      </c>
    </row>
    <row r="85" customFormat="false" ht="15" hidden="false" customHeight="false" outlineLevel="0" collapsed="false">
      <c r="A85" s="28" t="n">
        <v>45992</v>
      </c>
      <c r="B85" s="29" t="n">
        <v>1908.9</v>
      </c>
      <c r="C85" s="29" t="n">
        <v>1174.24</v>
      </c>
      <c r="D85" s="29" t="n">
        <v>577.18</v>
      </c>
      <c r="E85" s="29" t="n">
        <v>1355.15</v>
      </c>
      <c r="F85" s="29" t="n">
        <v>970.95</v>
      </c>
      <c r="G85" s="29" t="n">
        <v>1345.4</v>
      </c>
      <c r="H85" s="29" t="n">
        <v>1679.31</v>
      </c>
      <c r="I85" s="29" t="n">
        <v>2463.65</v>
      </c>
      <c r="J85" s="29" t="n">
        <v>3055.6</v>
      </c>
      <c r="K85" s="29" t="n">
        <v>383.58</v>
      </c>
      <c r="L85" s="29" t="n">
        <v>3107.6</v>
      </c>
      <c r="M85" s="29" t="n">
        <v>3889.81</v>
      </c>
      <c r="N85" s="29" t="n">
        <v>5154.52</v>
      </c>
      <c r="O85" s="29" t="n">
        <v>6169.98</v>
      </c>
      <c r="P85" s="29" t="n">
        <v>5308.96</v>
      </c>
    </row>
    <row r="86" customFormat="false" ht="15" hidden="false" customHeight="false" outlineLevel="0" collapsed="false">
      <c r="A86" s="28" t="n">
        <v>46023</v>
      </c>
      <c r="B86" s="29" t="n">
        <v>1884.72</v>
      </c>
      <c r="C86" s="29" t="n">
        <v>1179.27</v>
      </c>
      <c r="D86" s="29" t="n">
        <v>556.06</v>
      </c>
      <c r="E86" s="29" t="n">
        <v>1371.86</v>
      </c>
      <c r="F86" s="29" t="n">
        <v>945.28</v>
      </c>
      <c r="G86" s="29" t="n">
        <v>1308.31</v>
      </c>
      <c r="H86" s="29" t="n">
        <v>1419.09</v>
      </c>
      <c r="I86" s="29" t="n">
        <v>2301.46</v>
      </c>
      <c r="J86" s="29" t="n">
        <v>3094.6</v>
      </c>
      <c r="K86" s="29" t="n">
        <v>385.59</v>
      </c>
      <c r="L86" s="29" t="n">
        <v>2951.15</v>
      </c>
      <c r="M86" s="29" t="n">
        <v>4069.97</v>
      </c>
      <c r="N86" s="29" t="n">
        <v>5127.66</v>
      </c>
      <c r="O86" s="29" t="n">
        <v>5989.36</v>
      </c>
      <c r="P86" s="29" t="n">
        <v>5173.2</v>
      </c>
    </row>
    <row r="87" customFormat="false" ht="15" hidden="false" customHeight="false" outlineLevel="0" collapsed="false">
      <c r="A87" s="28" t="n">
        <v>46054</v>
      </c>
      <c r="B87" s="29" t="n">
        <v>1819.31</v>
      </c>
      <c r="C87" s="29" t="n">
        <v>1165.84</v>
      </c>
      <c r="D87" s="29" t="n">
        <v>526.04</v>
      </c>
      <c r="E87" s="29" t="n">
        <v>1431.04</v>
      </c>
      <c r="F87" s="29" t="n">
        <v>949.27</v>
      </c>
      <c r="G87" s="29" t="n">
        <v>1284.61</v>
      </c>
      <c r="H87" s="29" t="n">
        <v>1351.24</v>
      </c>
      <c r="I87" s="29" t="n">
        <v>2336.73</v>
      </c>
      <c r="J87" s="29" t="n">
        <v>3199.45</v>
      </c>
      <c r="K87" s="29" t="n">
        <v>378.59</v>
      </c>
      <c r="L87" s="29" t="n">
        <v>2819.45</v>
      </c>
      <c r="M87" s="29" t="n">
        <v>3920.57</v>
      </c>
      <c r="N87" s="29" t="n">
        <v>5738.57</v>
      </c>
      <c r="O87" s="29" t="n">
        <v>5916.87</v>
      </c>
      <c r="P87" s="29" t="n">
        <v>5113.39</v>
      </c>
    </row>
    <row r="88" customFormat="false" ht="15" hidden="false" customHeight="false" outlineLevel="0" collapsed="false">
      <c r="A88" s="28" t="n">
        <v>46082</v>
      </c>
      <c r="B88" s="29" t="n">
        <v>2073.43</v>
      </c>
      <c r="C88" s="29" t="n">
        <v>1076.35</v>
      </c>
      <c r="D88" s="29" t="n">
        <v>538.86</v>
      </c>
      <c r="E88" s="29" t="n">
        <v>1472.78</v>
      </c>
      <c r="F88" s="29" t="n">
        <v>951.37</v>
      </c>
      <c r="G88" s="29" t="n">
        <v>1437.47</v>
      </c>
      <c r="H88" s="29" t="n">
        <v>1482.25</v>
      </c>
      <c r="I88" s="29" t="n">
        <v>2280.5</v>
      </c>
      <c r="J88" s="29" t="n">
        <v>3256.15</v>
      </c>
      <c r="K88" s="29" t="n">
        <v>378.47</v>
      </c>
      <c r="L88" s="29" t="n">
        <v>3007.05</v>
      </c>
      <c r="M88" s="29" t="n">
        <v>3948.1</v>
      </c>
      <c r="N88" s="29" t="n">
        <v>5816.19</v>
      </c>
      <c r="O88" s="29" t="n">
        <v>6433.37</v>
      </c>
      <c r="P88" s="29" t="n">
        <v>5490.81</v>
      </c>
    </row>
    <row r="89" customFormat="false" ht="15" hidden="false" customHeight="false" outlineLevel="0" collapsed="false">
      <c r="A89" s="28" t="n">
        <v>46113</v>
      </c>
      <c r="B89" s="29" t="n">
        <v>2116.96</v>
      </c>
      <c r="C89" s="29" t="n">
        <v>1023.09</v>
      </c>
      <c r="D89" s="29" t="n">
        <v>561.65</v>
      </c>
      <c r="E89" s="29" t="n">
        <v>1509.48</v>
      </c>
      <c r="F89" s="29" t="n">
        <v>939.1</v>
      </c>
      <c r="G89" s="29" t="n">
        <v>1539.03</v>
      </c>
      <c r="H89" s="29" t="n">
        <v>1311.71</v>
      </c>
      <c r="I89" s="29" t="n">
        <v>2039.94</v>
      </c>
      <c r="J89" s="29" t="n">
        <v>3152.24</v>
      </c>
      <c r="K89" s="29" t="n">
        <v>346.8</v>
      </c>
      <c r="L89" s="29" t="n">
        <v>2914.33</v>
      </c>
      <c r="M89" s="29" t="n">
        <v>3885.88</v>
      </c>
      <c r="N89" s="29" t="n">
        <v>5876.32</v>
      </c>
      <c r="O89" s="29" t="n">
        <v>6037.56</v>
      </c>
      <c r="P89" s="29" t="n">
        <v>5245.8</v>
      </c>
    </row>
    <row r="90" customFormat="false" ht="15" hidden="false" customHeight="false" outlineLevel="0" collapsed="false">
      <c r="A90" s="28" t="n">
        <v>46143</v>
      </c>
      <c r="B90" s="29" t="n">
        <v>2241.3</v>
      </c>
      <c r="C90" s="29" t="n">
        <v>1024.88</v>
      </c>
      <c r="D90" s="29" t="n">
        <v>561.27</v>
      </c>
      <c r="E90" s="29" t="n">
        <v>1546.52</v>
      </c>
      <c r="F90" s="29" t="n">
        <v>955.67</v>
      </c>
      <c r="G90" s="29" t="n">
        <v>1531.52</v>
      </c>
      <c r="H90" s="29" t="n">
        <v>986.68</v>
      </c>
      <c r="I90" s="29" t="n">
        <v>1935.69</v>
      </c>
      <c r="J90" s="29" t="n">
        <v>3284.3</v>
      </c>
      <c r="K90" s="29" t="n">
        <v>326.33</v>
      </c>
      <c r="L90" s="29" t="n">
        <v>2769.22</v>
      </c>
      <c r="M90" s="29" t="n">
        <v>3753.23</v>
      </c>
      <c r="N90" s="29" t="n">
        <v>5809.91</v>
      </c>
      <c r="O90" s="29" t="n">
        <v>6038.52</v>
      </c>
      <c r="P90" s="29" t="n">
        <v>5204.19</v>
      </c>
    </row>
    <row r="91" customFormat="false" ht="15" hidden="false" customHeight="false" outlineLevel="0" collapsed="false">
      <c r="A91" s="28" t="n">
        <v>46174</v>
      </c>
      <c r="B91" s="29" t="n">
        <v>2290.65</v>
      </c>
      <c r="C91" s="29" t="n">
        <v>892.83</v>
      </c>
      <c r="D91" s="29" t="n">
        <v>542.47</v>
      </c>
      <c r="E91" s="29" t="n">
        <v>1579.89</v>
      </c>
      <c r="F91" s="29" t="n">
        <v>863.32</v>
      </c>
      <c r="G91" s="29" t="n">
        <v>1565.48</v>
      </c>
      <c r="H91" s="29" t="n">
        <v>1579.99</v>
      </c>
      <c r="I91" s="29" t="n">
        <v>1959.33</v>
      </c>
      <c r="J91" s="29" t="n">
        <v>3075.33</v>
      </c>
      <c r="K91" s="29" t="n">
        <v>340.64</v>
      </c>
      <c r="L91" s="29" t="n">
        <v>3013.01</v>
      </c>
      <c r="M91" s="29" t="n">
        <v>3958.63</v>
      </c>
      <c r="N91" s="29" t="n">
        <v>5476.67</v>
      </c>
      <c r="O91" s="29" t="n">
        <v>5838.74</v>
      </c>
      <c r="P91" s="29" t="n">
        <v>5001.33</v>
      </c>
    </row>
    <row r="92" customFormat="false" ht="15" hidden="false" customHeight="false" outlineLevel="0" collapsed="false">
      <c r="A92" s="28" t="n">
        <v>46204</v>
      </c>
      <c r="B92" s="29" t="n">
        <v>2276.95</v>
      </c>
      <c r="C92" s="29" t="n">
        <v>829.65</v>
      </c>
      <c r="D92" s="29" t="n">
        <v>523.84</v>
      </c>
      <c r="E92" s="29" t="n">
        <v>1568.17</v>
      </c>
      <c r="F92" s="29" t="n">
        <v>826.79</v>
      </c>
      <c r="G92" s="29" t="n">
        <v>1554.01</v>
      </c>
      <c r="H92" s="29" t="n">
        <v>1129.57</v>
      </c>
      <c r="I92" s="29" t="n">
        <v>2200.03</v>
      </c>
      <c r="J92" s="29" t="n">
        <v>3127.08</v>
      </c>
      <c r="K92" s="29" t="n">
        <v>443.71</v>
      </c>
      <c r="L92" s="29" t="n">
        <v>2848.58</v>
      </c>
      <c r="M92" s="29" t="n">
        <v>3831.91</v>
      </c>
      <c r="N92" s="29" t="n">
        <v>5986.92</v>
      </c>
      <c r="O92" s="29" t="n">
        <v>6360.79</v>
      </c>
      <c r="P92" s="29" t="n">
        <v>5443.59</v>
      </c>
    </row>
    <row r="94" customFormat="false" ht="15" hidden="false" customHeight="false" outlineLevel="0" collapsed="false">
      <c r="A94" s="1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3"/>
  </cols>
  <sheetData>
    <row r="1" customFormat="false" ht="15" hidden="false" customHeight="false" outlineLevel="0" collapsed="false">
      <c r="A1" s="17" t="s">
        <v>32</v>
      </c>
      <c r="B1" s="18" t="s">
        <v>55</v>
      </c>
      <c r="C1" s="18" t="s">
        <v>45</v>
      </c>
      <c r="D1" s="18" t="s">
        <v>24</v>
      </c>
      <c r="E1" s="18" t="s">
        <v>42</v>
      </c>
      <c r="F1" s="18" t="s">
        <v>65</v>
      </c>
    </row>
    <row r="2" customFormat="false" ht="15" hidden="false" customHeight="false" outlineLevel="0" collapsed="false">
      <c r="A2" s="28" t="n">
        <v>43466</v>
      </c>
      <c r="B2" s="30" t="s">
        <v>61</v>
      </c>
      <c r="C2" s="29" t="n">
        <v>361.06</v>
      </c>
      <c r="D2" s="29" t="n">
        <v>555.96</v>
      </c>
      <c r="E2" s="29" t="n">
        <v>181.37</v>
      </c>
      <c r="F2" s="29" t="n">
        <f aca="false">C2+D2/2.5+E2</f>
        <v>764.814</v>
      </c>
    </row>
    <row r="3" customFormat="false" ht="15" hidden="false" customHeight="false" outlineLevel="0" collapsed="false">
      <c r="A3" s="28" t="n">
        <v>43466</v>
      </c>
      <c r="B3" s="30" t="s">
        <v>63</v>
      </c>
      <c r="C3" s="29" t="n">
        <v>315.66</v>
      </c>
      <c r="D3" s="29" t="n">
        <v>562.77</v>
      </c>
      <c r="E3" s="29" t="n">
        <v>178.08</v>
      </c>
      <c r="F3" s="29" t="n">
        <f aca="false">C3+D3/2.5+E3</f>
        <v>718.848</v>
      </c>
    </row>
    <row r="4" customFormat="false" ht="15" hidden="false" customHeight="false" outlineLevel="0" collapsed="false">
      <c r="A4" s="28" t="n">
        <v>43466</v>
      </c>
      <c r="B4" s="30" t="s">
        <v>60</v>
      </c>
      <c r="C4" s="29" t="n">
        <v>414.6</v>
      </c>
      <c r="D4" s="29" t="n">
        <v>516.57</v>
      </c>
      <c r="E4" s="29" t="n">
        <v>156.72</v>
      </c>
      <c r="F4" s="29" t="n">
        <f aca="false">C4+D4/2.5+E4</f>
        <v>777.948</v>
      </c>
    </row>
    <row r="5" customFormat="false" ht="15" hidden="false" customHeight="false" outlineLevel="0" collapsed="false">
      <c r="A5" s="28" t="n">
        <v>43466</v>
      </c>
      <c r="B5" s="30" t="s">
        <v>59</v>
      </c>
      <c r="C5" s="29" t="n">
        <v>430.73</v>
      </c>
      <c r="D5" s="29" t="n">
        <v>561.52</v>
      </c>
      <c r="E5" s="29" t="n">
        <v>161.53</v>
      </c>
      <c r="F5" s="29" t="n">
        <f aca="false">C5+D5/2.5+E5</f>
        <v>816.868</v>
      </c>
    </row>
    <row r="6" customFormat="false" ht="15" hidden="false" customHeight="false" outlineLevel="0" collapsed="false">
      <c r="A6" s="28" t="n">
        <v>43466</v>
      </c>
      <c r="B6" s="30" t="s">
        <v>62</v>
      </c>
      <c r="C6" s="29" t="n">
        <v>348.28</v>
      </c>
      <c r="D6" s="29" t="n">
        <v>560.36</v>
      </c>
      <c r="E6" s="29" t="n">
        <v>130.85</v>
      </c>
      <c r="F6" s="29" t="n">
        <f aca="false">C6+D6/2.5+E6</f>
        <v>703.274</v>
      </c>
    </row>
    <row r="7" customFormat="false" ht="15" hidden="false" customHeight="false" outlineLevel="0" collapsed="false">
      <c r="A7" s="28" t="n">
        <v>43497</v>
      </c>
      <c r="B7" s="30" t="s">
        <v>61</v>
      </c>
      <c r="C7" s="29" t="n">
        <v>368.77</v>
      </c>
      <c r="D7" s="29" t="n">
        <v>547.28</v>
      </c>
      <c r="E7" s="29" t="n">
        <v>179.42</v>
      </c>
      <c r="F7" s="29" t="n">
        <f aca="false">C7+D7/2.5+E7</f>
        <v>767.102</v>
      </c>
    </row>
    <row r="8" customFormat="false" ht="15" hidden="false" customHeight="false" outlineLevel="0" collapsed="false">
      <c r="A8" s="28" t="n">
        <v>43497</v>
      </c>
      <c r="B8" s="30" t="s">
        <v>63</v>
      </c>
      <c r="C8" s="29" t="n">
        <v>323.59</v>
      </c>
      <c r="D8" s="29" t="n">
        <v>525.63</v>
      </c>
      <c r="E8" s="29" t="n">
        <v>169.87</v>
      </c>
      <c r="F8" s="29" t="n">
        <f aca="false">C8+D8/2.5+E8</f>
        <v>703.712</v>
      </c>
    </row>
    <row r="9" customFormat="false" ht="15" hidden="false" customHeight="false" outlineLevel="0" collapsed="false">
      <c r="A9" s="28" t="n">
        <v>43497</v>
      </c>
      <c r="B9" s="30" t="s">
        <v>60</v>
      </c>
      <c r="C9" s="29" t="n">
        <v>409.93</v>
      </c>
      <c r="D9" s="29" t="n">
        <v>518.39</v>
      </c>
      <c r="E9" s="29" t="n">
        <v>158.06</v>
      </c>
      <c r="F9" s="29" t="n">
        <f aca="false">C9+D9/2.5+E9</f>
        <v>775.346</v>
      </c>
    </row>
    <row r="10" customFormat="false" ht="15" hidden="false" customHeight="false" outlineLevel="0" collapsed="false">
      <c r="A10" s="28" t="n">
        <v>43497</v>
      </c>
      <c r="B10" s="30" t="s">
        <v>59</v>
      </c>
      <c r="C10" s="29" t="n">
        <v>423.78</v>
      </c>
      <c r="D10" s="29" t="n">
        <v>572.7</v>
      </c>
      <c r="E10" s="29" t="n">
        <v>168.4</v>
      </c>
      <c r="F10" s="29" t="n">
        <f aca="false">C10+D10/2.5+E10</f>
        <v>821.26</v>
      </c>
    </row>
    <row r="11" customFormat="false" ht="15" hidden="false" customHeight="false" outlineLevel="0" collapsed="false">
      <c r="A11" s="28" t="n">
        <v>43497</v>
      </c>
      <c r="B11" s="30" t="s">
        <v>62</v>
      </c>
      <c r="C11" s="29" t="n">
        <v>334.13</v>
      </c>
      <c r="D11" s="29" t="n">
        <v>592.7</v>
      </c>
      <c r="E11" s="29" t="n">
        <v>130.82</v>
      </c>
      <c r="F11" s="29" t="n">
        <f aca="false">C11+D11/2.5+E11</f>
        <v>702.03</v>
      </c>
    </row>
    <row r="12" customFormat="false" ht="15" hidden="false" customHeight="false" outlineLevel="0" collapsed="false">
      <c r="A12" s="28" t="n">
        <v>43525</v>
      </c>
      <c r="B12" s="30" t="s">
        <v>61</v>
      </c>
      <c r="C12" s="29" t="n">
        <v>369.39</v>
      </c>
      <c r="D12" s="29" t="n">
        <v>523.01</v>
      </c>
      <c r="E12" s="29" t="n">
        <v>166.18</v>
      </c>
      <c r="F12" s="29" t="n">
        <f aca="false">C12+D12/2.5+E12</f>
        <v>744.774</v>
      </c>
    </row>
    <row r="13" customFormat="false" ht="15" hidden="false" customHeight="false" outlineLevel="0" collapsed="false">
      <c r="A13" s="28" t="n">
        <v>43525</v>
      </c>
      <c r="B13" s="30" t="s">
        <v>63</v>
      </c>
      <c r="C13" s="29" t="n">
        <v>321.94</v>
      </c>
      <c r="D13" s="29" t="n">
        <v>504.79</v>
      </c>
      <c r="E13" s="29" t="n">
        <v>168.02</v>
      </c>
      <c r="F13" s="29" t="n">
        <f aca="false">C13+D13/2.5+E13</f>
        <v>691.876</v>
      </c>
    </row>
    <row r="14" customFormat="false" ht="15" hidden="false" customHeight="false" outlineLevel="0" collapsed="false">
      <c r="A14" s="28" t="n">
        <v>43525</v>
      </c>
      <c r="B14" s="30" t="s">
        <v>60</v>
      </c>
      <c r="C14" s="29" t="n">
        <v>409.43</v>
      </c>
      <c r="D14" s="29" t="n">
        <v>529.5</v>
      </c>
      <c r="E14" s="29" t="n">
        <v>151.14</v>
      </c>
      <c r="F14" s="29" t="n">
        <f aca="false">C14+D14/2.5+E14</f>
        <v>772.37</v>
      </c>
    </row>
    <row r="15" customFormat="false" ht="15" hidden="false" customHeight="false" outlineLevel="0" collapsed="false">
      <c r="A15" s="28" t="n">
        <v>43525</v>
      </c>
      <c r="B15" s="30" t="s">
        <v>59</v>
      </c>
      <c r="C15" s="29" t="n">
        <v>424.23</v>
      </c>
      <c r="D15" s="29" t="n">
        <v>581.48</v>
      </c>
      <c r="E15" s="29" t="n">
        <v>164.7</v>
      </c>
      <c r="F15" s="29" t="n">
        <f aca="false">C15+D15/2.5+E15</f>
        <v>821.522</v>
      </c>
    </row>
    <row r="16" customFormat="false" ht="15" hidden="false" customHeight="false" outlineLevel="0" collapsed="false">
      <c r="A16" s="28" t="n">
        <v>43525</v>
      </c>
      <c r="B16" s="30" t="s">
        <v>62</v>
      </c>
      <c r="C16" s="29" t="n">
        <v>325.34</v>
      </c>
      <c r="D16" s="29" t="n">
        <v>614.88</v>
      </c>
      <c r="E16" s="29" t="n">
        <v>138.68</v>
      </c>
      <c r="F16" s="29" t="n">
        <f aca="false">C16+D16/2.5+E16</f>
        <v>709.972</v>
      </c>
    </row>
    <row r="17" customFormat="false" ht="15" hidden="false" customHeight="false" outlineLevel="0" collapsed="false">
      <c r="A17" s="28" t="n">
        <v>43556</v>
      </c>
      <c r="B17" s="30" t="s">
        <v>61</v>
      </c>
      <c r="C17" s="29" t="n">
        <v>371.16</v>
      </c>
      <c r="D17" s="29" t="n">
        <v>486.23</v>
      </c>
      <c r="E17" s="29" t="n">
        <v>157.73</v>
      </c>
      <c r="F17" s="29" t="n">
        <f aca="false">C17+D17/2.5+E17</f>
        <v>723.382</v>
      </c>
    </row>
    <row r="18" customFormat="false" ht="15" hidden="false" customHeight="false" outlineLevel="0" collapsed="false">
      <c r="A18" s="28" t="n">
        <v>43556</v>
      </c>
      <c r="B18" s="30" t="s">
        <v>63</v>
      </c>
      <c r="C18" s="29" t="n">
        <v>318.42</v>
      </c>
      <c r="D18" s="29" t="n">
        <v>456.43</v>
      </c>
      <c r="E18" s="29" t="n">
        <v>166.9</v>
      </c>
      <c r="F18" s="29" t="n">
        <f aca="false">C18+D18/2.5+E18</f>
        <v>667.892</v>
      </c>
    </row>
    <row r="19" customFormat="false" ht="15" hidden="false" customHeight="false" outlineLevel="0" collapsed="false">
      <c r="A19" s="28" t="n">
        <v>43556</v>
      </c>
      <c r="B19" s="30" t="s">
        <v>60</v>
      </c>
      <c r="C19" s="29" t="n">
        <v>407.55</v>
      </c>
      <c r="D19" s="29" t="n">
        <v>494.51</v>
      </c>
      <c r="E19" s="29" t="n">
        <v>149.61</v>
      </c>
      <c r="F19" s="29" t="n">
        <f aca="false">C19+D19/2.5+E19</f>
        <v>754.964</v>
      </c>
    </row>
    <row r="20" customFormat="false" ht="15" hidden="false" customHeight="false" outlineLevel="0" collapsed="false">
      <c r="A20" s="28" t="n">
        <v>43556</v>
      </c>
      <c r="B20" s="30" t="s">
        <v>59</v>
      </c>
      <c r="C20" s="29" t="n">
        <v>425.12</v>
      </c>
      <c r="D20" s="29" t="n">
        <v>494.84</v>
      </c>
      <c r="E20" s="29" t="n">
        <v>182.05</v>
      </c>
      <c r="F20" s="29" t="n">
        <f aca="false">C20+D20/2.5+E20</f>
        <v>805.106</v>
      </c>
    </row>
    <row r="21" customFormat="false" ht="15" hidden="false" customHeight="false" outlineLevel="0" collapsed="false">
      <c r="A21" s="28" t="n">
        <v>43556</v>
      </c>
      <c r="B21" s="30" t="s">
        <v>62</v>
      </c>
      <c r="C21" s="29" t="n">
        <v>316.2</v>
      </c>
      <c r="D21" s="29" t="n">
        <v>609.1</v>
      </c>
      <c r="E21" s="29" t="n">
        <v>146.45</v>
      </c>
      <c r="F21" s="29" t="n">
        <f aca="false">C21+D21/2.5+E21</f>
        <v>706.29</v>
      </c>
    </row>
    <row r="22" customFormat="false" ht="15" hidden="false" customHeight="false" outlineLevel="0" collapsed="false">
      <c r="A22" s="28" t="n">
        <v>43586</v>
      </c>
      <c r="B22" s="30" t="s">
        <v>61</v>
      </c>
      <c r="C22" s="29" t="n">
        <v>376.51</v>
      </c>
      <c r="D22" s="29" t="n">
        <v>429.47</v>
      </c>
      <c r="E22" s="29" t="n">
        <v>154.16</v>
      </c>
      <c r="F22" s="29" t="n">
        <f aca="false">C22+D22/2.5+E22</f>
        <v>702.458</v>
      </c>
    </row>
    <row r="23" customFormat="false" ht="15" hidden="false" customHeight="false" outlineLevel="0" collapsed="false">
      <c r="A23" s="28" t="n">
        <v>43586</v>
      </c>
      <c r="B23" s="30" t="s">
        <v>63</v>
      </c>
      <c r="C23" s="29" t="n">
        <v>329.87</v>
      </c>
      <c r="D23" s="29" t="n">
        <v>437.59</v>
      </c>
      <c r="E23" s="29" t="n">
        <v>172.46</v>
      </c>
      <c r="F23" s="29" t="n">
        <f aca="false">C23+D23/2.5+E23</f>
        <v>677.366</v>
      </c>
    </row>
    <row r="24" customFormat="false" ht="15" hidden="false" customHeight="false" outlineLevel="0" collapsed="false">
      <c r="A24" s="28" t="n">
        <v>43586</v>
      </c>
      <c r="B24" s="30" t="s">
        <v>60</v>
      </c>
      <c r="C24" s="29" t="n">
        <v>403.05</v>
      </c>
      <c r="D24" s="29" t="n">
        <v>478.43</v>
      </c>
      <c r="E24" s="29" t="n">
        <v>150.63</v>
      </c>
      <c r="F24" s="29" t="n">
        <f aca="false">C24+D24/2.5+E24</f>
        <v>745.052</v>
      </c>
    </row>
    <row r="25" customFormat="false" ht="15" hidden="false" customHeight="false" outlineLevel="0" collapsed="false">
      <c r="A25" s="28" t="n">
        <v>43586</v>
      </c>
      <c r="B25" s="30" t="s">
        <v>59</v>
      </c>
      <c r="C25" s="29" t="n">
        <v>418.94</v>
      </c>
      <c r="D25" s="29" t="n">
        <v>472.55</v>
      </c>
      <c r="E25" s="29" t="n">
        <v>170.11</v>
      </c>
      <c r="F25" s="29" t="n">
        <f aca="false">C25+D25/2.5+E25</f>
        <v>778.07</v>
      </c>
    </row>
    <row r="26" customFormat="false" ht="15" hidden="false" customHeight="false" outlineLevel="0" collapsed="false">
      <c r="A26" s="28" t="n">
        <v>43586</v>
      </c>
      <c r="B26" s="30" t="s">
        <v>62</v>
      </c>
      <c r="C26" s="29" t="n">
        <v>323.85</v>
      </c>
      <c r="D26" s="29" t="n">
        <v>539.94</v>
      </c>
      <c r="E26" s="29" t="n">
        <v>136.87</v>
      </c>
      <c r="F26" s="29" t="n">
        <f aca="false">C26+D26/2.5+E26</f>
        <v>676.696</v>
      </c>
    </row>
    <row r="27" customFormat="false" ht="15" hidden="false" customHeight="false" outlineLevel="0" collapsed="false">
      <c r="A27" s="28" t="n">
        <v>43617</v>
      </c>
      <c r="B27" s="30" t="s">
        <v>61</v>
      </c>
      <c r="C27" s="29" t="n">
        <v>361.87</v>
      </c>
      <c r="D27" s="29" t="n">
        <v>384.82</v>
      </c>
      <c r="E27" s="29" t="n">
        <v>136.63</v>
      </c>
      <c r="F27" s="29" t="n">
        <f aca="false">C27+D27/2.5+E27</f>
        <v>652.428</v>
      </c>
    </row>
    <row r="28" customFormat="false" ht="15" hidden="false" customHeight="false" outlineLevel="0" collapsed="false">
      <c r="A28" s="28" t="n">
        <v>43617</v>
      </c>
      <c r="B28" s="30" t="s">
        <v>63</v>
      </c>
      <c r="C28" s="29" t="n">
        <v>328.35</v>
      </c>
      <c r="D28" s="29" t="n">
        <v>423.7</v>
      </c>
      <c r="E28" s="29" t="n">
        <v>156.25</v>
      </c>
      <c r="F28" s="29" t="n">
        <f aca="false">C28+D28/2.5+E28</f>
        <v>654.08</v>
      </c>
    </row>
    <row r="29" customFormat="false" ht="15" hidden="false" customHeight="false" outlineLevel="0" collapsed="false">
      <c r="A29" s="28" t="n">
        <v>43617</v>
      </c>
      <c r="B29" s="30" t="s">
        <v>60</v>
      </c>
      <c r="C29" s="29" t="n">
        <v>395.47</v>
      </c>
      <c r="D29" s="29" t="n">
        <v>454.39</v>
      </c>
      <c r="E29" s="29" t="n">
        <v>137.16</v>
      </c>
      <c r="F29" s="29" t="n">
        <f aca="false">C29+D29/2.5+E29</f>
        <v>714.386</v>
      </c>
    </row>
    <row r="30" customFormat="false" ht="15" hidden="false" customHeight="false" outlineLevel="0" collapsed="false">
      <c r="A30" s="28" t="n">
        <v>43617</v>
      </c>
      <c r="B30" s="30" t="s">
        <v>59</v>
      </c>
      <c r="C30" s="29" t="n">
        <v>416.29</v>
      </c>
      <c r="D30" s="29" t="n">
        <v>441.56</v>
      </c>
      <c r="E30" s="29" t="n">
        <v>158.77</v>
      </c>
      <c r="F30" s="29" t="n">
        <f aca="false">C30+D30/2.5+E30</f>
        <v>751.684</v>
      </c>
    </row>
    <row r="31" customFormat="false" ht="15" hidden="false" customHeight="false" outlineLevel="0" collapsed="false">
      <c r="A31" s="28" t="n">
        <v>43617</v>
      </c>
      <c r="B31" s="30" t="s">
        <v>62</v>
      </c>
      <c r="C31" s="29" t="n">
        <v>326.5</v>
      </c>
      <c r="D31" s="29" t="n">
        <v>524.53</v>
      </c>
      <c r="E31" s="29" t="n">
        <v>134.53</v>
      </c>
      <c r="F31" s="29" t="n">
        <f aca="false">C31+D31/2.5+E31</f>
        <v>670.842</v>
      </c>
    </row>
    <row r="32" customFormat="false" ht="15" hidden="false" customHeight="false" outlineLevel="0" collapsed="false">
      <c r="A32" s="28" t="n">
        <v>43647</v>
      </c>
      <c r="B32" s="30" t="s">
        <v>61</v>
      </c>
      <c r="C32" s="29" t="n">
        <v>356.09</v>
      </c>
      <c r="D32" s="29" t="n">
        <v>384.47</v>
      </c>
      <c r="E32" s="29" t="n">
        <v>138.58</v>
      </c>
      <c r="F32" s="29" t="n">
        <f aca="false">C32+D32/2.5+E32</f>
        <v>648.458</v>
      </c>
    </row>
    <row r="33" customFormat="false" ht="15" hidden="false" customHeight="false" outlineLevel="0" collapsed="false">
      <c r="A33" s="28" t="n">
        <v>43647</v>
      </c>
      <c r="B33" s="30" t="s">
        <v>63</v>
      </c>
      <c r="C33" s="29" t="n">
        <v>344.75</v>
      </c>
      <c r="D33" s="29" t="n">
        <v>363.77</v>
      </c>
      <c r="E33" s="29" t="n">
        <v>150.56</v>
      </c>
      <c r="F33" s="29" t="n">
        <f aca="false">C33+D33/2.5+E33</f>
        <v>640.818</v>
      </c>
    </row>
    <row r="34" customFormat="false" ht="15" hidden="false" customHeight="false" outlineLevel="0" collapsed="false">
      <c r="A34" s="28" t="n">
        <v>43647</v>
      </c>
      <c r="B34" s="30" t="s">
        <v>60</v>
      </c>
      <c r="C34" s="29" t="n">
        <v>395.29</v>
      </c>
      <c r="D34" s="29" t="n">
        <v>452.99</v>
      </c>
      <c r="E34" s="29" t="n">
        <v>138.55</v>
      </c>
      <c r="F34" s="29" t="n">
        <f aca="false">C34+D34/2.5+E34</f>
        <v>715.036</v>
      </c>
    </row>
    <row r="35" customFormat="false" ht="15" hidden="false" customHeight="false" outlineLevel="0" collapsed="false">
      <c r="A35" s="28" t="n">
        <v>43647</v>
      </c>
      <c r="B35" s="30" t="s">
        <v>59</v>
      </c>
      <c r="C35" s="29" t="n">
        <v>403.29</v>
      </c>
      <c r="D35" s="29" t="n">
        <v>482.88</v>
      </c>
      <c r="E35" s="29" t="n">
        <v>176.09</v>
      </c>
      <c r="F35" s="29" t="n">
        <f aca="false">C35+D35/2.5+E35</f>
        <v>772.532</v>
      </c>
    </row>
    <row r="36" customFormat="false" ht="15" hidden="false" customHeight="false" outlineLevel="0" collapsed="false">
      <c r="A36" s="28" t="n">
        <v>43647</v>
      </c>
      <c r="B36" s="30" t="s">
        <v>62</v>
      </c>
      <c r="C36" s="29" t="n">
        <v>324.04</v>
      </c>
      <c r="D36" s="29" t="n">
        <v>519.1</v>
      </c>
      <c r="E36" s="29" t="n">
        <v>150.68</v>
      </c>
      <c r="F36" s="29" t="n">
        <f aca="false">C36+D36/2.5+E36</f>
        <v>682.36</v>
      </c>
    </row>
    <row r="37" customFormat="false" ht="15" hidden="false" customHeight="false" outlineLevel="0" collapsed="false">
      <c r="A37" s="28" t="n">
        <v>43678</v>
      </c>
      <c r="B37" s="30" t="s">
        <v>61</v>
      </c>
      <c r="C37" s="29" t="n">
        <v>346.51</v>
      </c>
      <c r="D37" s="29" t="n">
        <v>420.94</v>
      </c>
      <c r="E37" s="29" t="n">
        <v>147.98</v>
      </c>
      <c r="F37" s="29" t="n">
        <f aca="false">C37+D37/2.5+E37</f>
        <v>662.866</v>
      </c>
    </row>
    <row r="38" customFormat="false" ht="15" hidden="false" customHeight="false" outlineLevel="0" collapsed="false">
      <c r="A38" s="28" t="n">
        <v>43678</v>
      </c>
      <c r="B38" s="30" t="s">
        <v>63</v>
      </c>
      <c r="C38" s="29" t="n">
        <v>343.15</v>
      </c>
      <c r="D38" s="29" t="n">
        <v>354.56</v>
      </c>
      <c r="E38" s="29" t="n">
        <v>146.41</v>
      </c>
      <c r="F38" s="29" t="n">
        <f aca="false">C38+D38/2.5+E38</f>
        <v>631.384</v>
      </c>
    </row>
    <row r="39" customFormat="false" ht="15" hidden="false" customHeight="false" outlineLevel="0" collapsed="false">
      <c r="A39" s="28" t="n">
        <v>43678</v>
      </c>
      <c r="B39" s="30" t="s">
        <v>60</v>
      </c>
      <c r="C39" s="29" t="n">
        <v>395.3</v>
      </c>
      <c r="D39" s="29" t="n">
        <v>464.33</v>
      </c>
      <c r="E39" s="29" t="n">
        <v>143.38</v>
      </c>
      <c r="F39" s="29" t="n">
        <f aca="false">C39+D39/2.5+E39</f>
        <v>724.412</v>
      </c>
    </row>
    <row r="40" customFormat="false" ht="15" hidden="false" customHeight="false" outlineLevel="0" collapsed="false">
      <c r="A40" s="28" t="n">
        <v>43678</v>
      </c>
      <c r="B40" s="30" t="s">
        <v>59</v>
      </c>
      <c r="C40" s="29" t="n">
        <v>413.86</v>
      </c>
      <c r="D40" s="29" t="n">
        <v>454.58</v>
      </c>
      <c r="E40" s="29" t="n">
        <v>168.92</v>
      </c>
      <c r="F40" s="29" t="n">
        <f aca="false">C40+D40/2.5+E40</f>
        <v>764.612</v>
      </c>
    </row>
    <row r="41" customFormat="false" ht="15" hidden="false" customHeight="false" outlineLevel="0" collapsed="false">
      <c r="A41" s="28" t="n">
        <v>43678</v>
      </c>
      <c r="B41" s="30" t="s">
        <v>62</v>
      </c>
      <c r="C41" s="29" t="n">
        <v>318.65</v>
      </c>
      <c r="D41" s="29" t="n">
        <v>545.7</v>
      </c>
      <c r="E41" s="29" t="n">
        <v>150.63</v>
      </c>
      <c r="F41" s="29" t="n">
        <f aca="false">C41+D41/2.5+E41</f>
        <v>687.56</v>
      </c>
    </row>
    <row r="42" customFormat="false" ht="15" hidden="false" customHeight="false" outlineLevel="0" collapsed="false">
      <c r="A42" s="28" t="n">
        <v>43709</v>
      </c>
      <c r="B42" s="30" t="s">
        <v>61</v>
      </c>
      <c r="C42" s="29" t="n">
        <v>368.91</v>
      </c>
      <c r="D42" s="29" t="n">
        <v>419.72</v>
      </c>
      <c r="E42" s="29" t="n">
        <v>147.23</v>
      </c>
      <c r="F42" s="29" t="n">
        <f aca="false">C42+D42/2.5+E42</f>
        <v>684.028</v>
      </c>
    </row>
    <row r="43" customFormat="false" ht="15" hidden="false" customHeight="false" outlineLevel="0" collapsed="false">
      <c r="A43" s="28" t="n">
        <v>43709</v>
      </c>
      <c r="B43" s="30" t="s">
        <v>63</v>
      </c>
      <c r="C43" s="29" t="n">
        <v>343.02</v>
      </c>
      <c r="D43" s="29" t="n">
        <v>373.15</v>
      </c>
      <c r="E43" s="29" t="n">
        <v>150.96</v>
      </c>
      <c r="F43" s="29" t="n">
        <f aca="false">C43+D43/2.5+E43</f>
        <v>643.24</v>
      </c>
    </row>
    <row r="44" customFormat="false" ht="15" hidden="false" customHeight="false" outlineLevel="0" collapsed="false">
      <c r="A44" s="28" t="n">
        <v>43709</v>
      </c>
      <c r="B44" s="30" t="s">
        <v>60</v>
      </c>
      <c r="C44" s="29" t="n">
        <v>402.85</v>
      </c>
      <c r="D44" s="29" t="n">
        <v>451.13</v>
      </c>
      <c r="E44" s="29" t="n">
        <v>144.13</v>
      </c>
      <c r="F44" s="29" t="n">
        <f aca="false">C44+D44/2.5+E44</f>
        <v>727.432</v>
      </c>
    </row>
    <row r="45" customFormat="false" ht="15" hidden="false" customHeight="false" outlineLevel="0" collapsed="false">
      <c r="A45" s="28" t="n">
        <v>43709</v>
      </c>
      <c r="B45" s="30" t="s">
        <v>59</v>
      </c>
      <c r="C45" s="29" t="n">
        <v>432.08</v>
      </c>
      <c r="D45" s="29" t="n">
        <v>525.29</v>
      </c>
      <c r="E45" s="29" t="n">
        <v>168.81</v>
      </c>
      <c r="F45" s="29" t="n">
        <f aca="false">C45+D45/2.5+E45</f>
        <v>811.006</v>
      </c>
    </row>
    <row r="46" customFormat="false" ht="15" hidden="false" customHeight="false" outlineLevel="0" collapsed="false">
      <c r="A46" s="28" t="n">
        <v>43709</v>
      </c>
      <c r="B46" s="30" t="s">
        <v>62</v>
      </c>
      <c r="C46" s="29" t="n">
        <v>345.79</v>
      </c>
      <c r="D46" s="29" t="n">
        <v>501.51</v>
      </c>
      <c r="E46" s="29" t="n">
        <v>137.32</v>
      </c>
      <c r="F46" s="29" t="n">
        <f aca="false">C46+D46/2.5+E46</f>
        <v>683.714</v>
      </c>
    </row>
    <row r="47" customFormat="false" ht="15" hidden="false" customHeight="false" outlineLevel="0" collapsed="false">
      <c r="A47" s="28" t="n">
        <v>43739</v>
      </c>
      <c r="B47" s="30" t="s">
        <v>61</v>
      </c>
      <c r="C47" s="29" t="n">
        <v>365.81</v>
      </c>
      <c r="D47" s="29" t="n">
        <v>405.71</v>
      </c>
      <c r="E47" s="29" t="n">
        <v>152.88</v>
      </c>
      <c r="F47" s="29" t="n">
        <f aca="false">C47+D47/2.5+E47</f>
        <v>680.974</v>
      </c>
    </row>
    <row r="48" customFormat="false" ht="15" hidden="false" customHeight="false" outlineLevel="0" collapsed="false">
      <c r="A48" s="28" t="n">
        <v>43739</v>
      </c>
      <c r="B48" s="30" t="s">
        <v>63</v>
      </c>
      <c r="C48" s="29" t="n">
        <v>349.26</v>
      </c>
      <c r="D48" s="29" t="n">
        <v>394.36</v>
      </c>
      <c r="E48" s="29" t="n">
        <v>160.42</v>
      </c>
      <c r="F48" s="29" t="n">
        <f aca="false">C48+D48/2.5+E48</f>
        <v>667.424</v>
      </c>
    </row>
    <row r="49" customFormat="false" ht="15" hidden="false" customHeight="false" outlineLevel="0" collapsed="false">
      <c r="A49" s="28" t="n">
        <v>43739</v>
      </c>
      <c r="B49" s="30" t="s">
        <v>60</v>
      </c>
      <c r="C49" s="29" t="n">
        <v>425.2</v>
      </c>
      <c r="D49" s="29" t="n">
        <v>451.13</v>
      </c>
      <c r="E49" s="29" t="n">
        <v>173.57</v>
      </c>
      <c r="F49" s="29" t="n">
        <f aca="false">C49+D49/2.5+E49</f>
        <v>779.222</v>
      </c>
    </row>
    <row r="50" customFormat="false" ht="15" hidden="false" customHeight="false" outlineLevel="0" collapsed="false">
      <c r="A50" s="28" t="n">
        <v>43739</v>
      </c>
      <c r="B50" s="30" t="s">
        <v>59</v>
      </c>
      <c r="C50" s="29" t="n">
        <v>443.11</v>
      </c>
      <c r="D50" s="29" t="n">
        <v>406.65</v>
      </c>
      <c r="E50" s="29" t="n">
        <v>174.79</v>
      </c>
      <c r="F50" s="29" t="n">
        <f aca="false">C50+D50/2.5+E50</f>
        <v>780.56</v>
      </c>
    </row>
    <row r="51" customFormat="false" ht="15" hidden="false" customHeight="false" outlineLevel="0" collapsed="false">
      <c r="A51" s="28" t="n">
        <v>43739</v>
      </c>
      <c r="B51" s="30" t="s">
        <v>62</v>
      </c>
      <c r="C51" s="29" t="n">
        <v>356.57</v>
      </c>
      <c r="D51" s="29" t="n">
        <v>515.11</v>
      </c>
      <c r="E51" s="29" t="n">
        <v>146.48</v>
      </c>
      <c r="F51" s="29" t="n">
        <f aca="false">C51+D51/2.5+E51</f>
        <v>709.094</v>
      </c>
    </row>
    <row r="52" customFormat="false" ht="15" hidden="false" customHeight="false" outlineLevel="0" collapsed="false">
      <c r="A52" s="28" t="n">
        <v>43770</v>
      </c>
      <c r="B52" s="30" t="s">
        <v>61</v>
      </c>
      <c r="C52" s="29" t="n">
        <v>401.82</v>
      </c>
      <c r="D52" s="29" t="n">
        <v>376.46</v>
      </c>
      <c r="E52" s="29" t="n">
        <v>153.97</v>
      </c>
      <c r="F52" s="29" t="n">
        <f aca="false">C52+D52/2.5+E52</f>
        <v>706.374</v>
      </c>
    </row>
    <row r="53" customFormat="false" ht="15" hidden="false" customHeight="false" outlineLevel="0" collapsed="false">
      <c r="A53" s="28" t="n">
        <v>43770</v>
      </c>
      <c r="B53" s="30" t="s">
        <v>63</v>
      </c>
      <c r="C53" s="29" t="n">
        <v>364.87</v>
      </c>
      <c r="D53" s="29" t="n">
        <v>376.87</v>
      </c>
      <c r="E53" s="29" t="n">
        <v>151.92</v>
      </c>
      <c r="F53" s="29" t="n">
        <f aca="false">C53+D53/2.5+E53</f>
        <v>667.538</v>
      </c>
    </row>
    <row r="54" customFormat="false" ht="15" hidden="false" customHeight="false" outlineLevel="0" collapsed="false">
      <c r="A54" s="28" t="n">
        <v>43770</v>
      </c>
      <c r="B54" s="30" t="s">
        <v>60</v>
      </c>
      <c r="C54" s="29" t="n">
        <v>452.11</v>
      </c>
      <c r="D54" s="29" t="n">
        <v>458.34</v>
      </c>
      <c r="E54" s="29" t="n">
        <v>173.63</v>
      </c>
      <c r="F54" s="29" t="n">
        <f aca="false">C54+D54/2.5+E54</f>
        <v>809.076</v>
      </c>
    </row>
    <row r="55" customFormat="false" ht="15" hidden="false" customHeight="false" outlineLevel="0" collapsed="false">
      <c r="A55" s="28" t="n">
        <v>43770</v>
      </c>
      <c r="B55" s="30" t="s">
        <v>59</v>
      </c>
      <c r="C55" s="29" t="n">
        <v>483.23</v>
      </c>
      <c r="D55" s="29" t="n">
        <v>352.95</v>
      </c>
      <c r="E55" s="29" t="n">
        <v>180.41</v>
      </c>
      <c r="F55" s="29" t="n">
        <f aca="false">C55+D55/2.5+E55</f>
        <v>804.82</v>
      </c>
    </row>
    <row r="56" customFormat="false" ht="15" hidden="false" customHeight="false" outlineLevel="0" collapsed="false">
      <c r="A56" s="28" t="n">
        <v>43770</v>
      </c>
      <c r="B56" s="30" t="s">
        <v>62</v>
      </c>
      <c r="C56" s="29" t="n">
        <v>378.76</v>
      </c>
      <c r="D56" s="29" t="n">
        <v>465.84</v>
      </c>
      <c r="E56" s="29" t="n">
        <v>129.73</v>
      </c>
      <c r="F56" s="29" t="n">
        <f aca="false">C56+D56/2.5+E56</f>
        <v>694.826</v>
      </c>
    </row>
    <row r="57" customFormat="false" ht="15" hidden="false" customHeight="false" outlineLevel="0" collapsed="false">
      <c r="A57" s="28" t="n">
        <v>43800</v>
      </c>
      <c r="B57" s="30" t="s">
        <v>61</v>
      </c>
      <c r="C57" s="29" t="n">
        <v>444.26</v>
      </c>
      <c r="D57" s="29" t="n">
        <v>375.7</v>
      </c>
      <c r="E57" s="29" t="n">
        <v>154.04</v>
      </c>
      <c r="F57" s="29" t="n">
        <f aca="false">C57+D57/2.5+E57</f>
        <v>748.58</v>
      </c>
    </row>
    <row r="58" customFormat="false" ht="15" hidden="false" customHeight="false" outlineLevel="0" collapsed="false">
      <c r="A58" s="28" t="n">
        <v>43800</v>
      </c>
      <c r="B58" s="30" t="s">
        <v>63</v>
      </c>
      <c r="C58" s="29" t="n">
        <v>370.48</v>
      </c>
      <c r="D58" s="29" t="n">
        <v>328.1</v>
      </c>
      <c r="E58" s="29" t="n">
        <v>146.54</v>
      </c>
      <c r="F58" s="29" t="n">
        <f aca="false">C58+D58/2.5+E58</f>
        <v>648.26</v>
      </c>
    </row>
    <row r="59" customFormat="false" ht="15" hidden="false" customHeight="false" outlineLevel="0" collapsed="false">
      <c r="A59" s="28" t="n">
        <v>43800</v>
      </c>
      <c r="B59" s="30" t="s">
        <v>60</v>
      </c>
      <c r="C59" s="29" t="n">
        <v>478.93</v>
      </c>
      <c r="D59" s="29" t="n">
        <v>401.89</v>
      </c>
      <c r="E59" s="29" t="n">
        <v>167.44</v>
      </c>
      <c r="F59" s="29" t="n">
        <f aca="false">C59+D59/2.5+E59</f>
        <v>807.126</v>
      </c>
    </row>
    <row r="60" customFormat="false" ht="15" hidden="false" customHeight="false" outlineLevel="0" collapsed="false">
      <c r="A60" s="28" t="n">
        <v>43800</v>
      </c>
      <c r="B60" s="30" t="s">
        <v>59</v>
      </c>
      <c r="C60" s="29" t="n">
        <v>526.27</v>
      </c>
      <c r="D60" s="29" t="n">
        <v>353.61</v>
      </c>
      <c r="E60" s="29" t="n">
        <v>184.63</v>
      </c>
      <c r="F60" s="29" t="n">
        <f aca="false">C60+D60/2.5+E60</f>
        <v>852.344</v>
      </c>
    </row>
    <row r="61" customFormat="false" ht="15" hidden="false" customHeight="false" outlineLevel="0" collapsed="false">
      <c r="A61" s="28" t="n">
        <v>43800</v>
      </c>
      <c r="B61" s="30" t="s">
        <v>62</v>
      </c>
      <c r="C61" s="29" t="n">
        <v>396.33</v>
      </c>
      <c r="D61" s="29" t="n">
        <v>452.97</v>
      </c>
      <c r="E61" s="29" t="n">
        <v>135.26</v>
      </c>
      <c r="F61" s="29" t="n">
        <f aca="false">C61+D61/2.5+E61</f>
        <v>712.778</v>
      </c>
    </row>
    <row r="62" customFormat="false" ht="15" hidden="false" customHeight="false" outlineLevel="0" collapsed="false">
      <c r="A62" s="28" t="n">
        <v>43831</v>
      </c>
      <c r="B62" s="30" t="s">
        <v>61</v>
      </c>
      <c r="C62" s="29" t="n">
        <v>434.31</v>
      </c>
      <c r="D62" s="29" t="n">
        <v>404.12</v>
      </c>
      <c r="E62" s="29" t="n">
        <v>147.42</v>
      </c>
      <c r="F62" s="29" t="n">
        <f aca="false">C62+D62/2.5+E62</f>
        <v>743.378</v>
      </c>
    </row>
    <row r="63" customFormat="false" ht="15" hidden="false" customHeight="false" outlineLevel="0" collapsed="false">
      <c r="A63" s="28" t="n">
        <v>43831</v>
      </c>
      <c r="B63" s="30" t="s">
        <v>63</v>
      </c>
      <c r="C63" s="29" t="n">
        <v>371.61</v>
      </c>
      <c r="D63" s="29" t="n">
        <v>380.46</v>
      </c>
      <c r="E63" s="29" t="n">
        <v>156.5</v>
      </c>
      <c r="F63" s="29" t="n">
        <f aca="false">C63+D63/2.5+E63</f>
        <v>680.294</v>
      </c>
    </row>
    <row r="64" customFormat="false" ht="15" hidden="false" customHeight="false" outlineLevel="0" collapsed="false">
      <c r="A64" s="28" t="n">
        <v>43831</v>
      </c>
      <c r="B64" s="30" t="s">
        <v>60</v>
      </c>
      <c r="C64" s="29" t="n">
        <v>508.38</v>
      </c>
      <c r="D64" s="29" t="n">
        <v>390.81</v>
      </c>
      <c r="E64" s="29" t="n">
        <v>178.44</v>
      </c>
      <c r="F64" s="29" t="n">
        <f aca="false">C64+D64/2.5+E64</f>
        <v>843.144</v>
      </c>
    </row>
    <row r="65" customFormat="false" ht="15" hidden="false" customHeight="false" outlineLevel="0" collapsed="false">
      <c r="A65" s="28" t="n">
        <v>43831</v>
      </c>
      <c r="B65" s="30" t="s">
        <v>59</v>
      </c>
      <c r="C65" s="29" t="n">
        <v>553.82</v>
      </c>
      <c r="D65" s="29" t="n">
        <v>355.91</v>
      </c>
      <c r="E65" s="29" t="n">
        <v>183.01</v>
      </c>
      <c r="F65" s="29" t="n">
        <f aca="false">C65+D65/2.5+E65</f>
        <v>879.194</v>
      </c>
    </row>
    <row r="66" customFormat="false" ht="15" hidden="false" customHeight="false" outlineLevel="0" collapsed="false">
      <c r="A66" s="28" t="n">
        <v>43831</v>
      </c>
      <c r="B66" s="30" t="s">
        <v>62</v>
      </c>
      <c r="C66" s="29" t="n">
        <v>403.44</v>
      </c>
      <c r="D66" s="29" t="n">
        <v>444.19</v>
      </c>
      <c r="E66" s="29" t="n">
        <v>134.85</v>
      </c>
      <c r="F66" s="29" t="n">
        <f aca="false">C66+D66/2.5+E66</f>
        <v>715.966</v>
      </c>
    </row>
    <row r="67" customFormat="false" ht="15" hidden="false" customHeight="false" outlineLevel="0" collapsed="false">
      <c r="A67" s="28" t="n">
        <v>43862</v>
      </c>
      <c r="B67" s="30" t="s">
        <v>61</v>
      </c>
      <c r="C67" s="29" t="n">
        <v>432.89</v>
      </c>
      <c r="D67" s="29" t="n">
        <v>369.47</v>
      </c>
      <c r="E67" s="29" t="n">
        <v>143.51</v>
      </c>
      <c r="F67" s="29" t="n">
        <f aca="false">C67+D67/2.5+E67</f>
        <v>724.188</v>
      </c>
    </row>
    <row r="68" customFormat="false" ht="15" hidden="false" customHeight="false" outlineLevel="0" collapsed="false">
      <c r="A68" s="28" t="n">
        <v>43862</v>
      </c>
      <c r="B68" s="30" t="s">
        <v>63</v>
      </c>
      <c r="C68" s="29" t="n">
        <v>355.51</v>
      </c>
      <c r="D68" s="29" t="n">
        <v>419.46</v>
      </c>
      <c r="E68" s="29" t="n">
        <v>156.61</v>
      </c>
      <c r="F68" s="29" t="n">
        <f aca="false">C68+D68/2.5+E68</f>
        <v>679.904</v>
      </c>
    </row>
    <row r="69" customFormat="false" ht="15" hidden="false" customHeight="false" outlineLevel="0" collapsed="false">
      <c r="A69" s="28" t="n">
        <v>43862</v>
      </c>
      <c r="B69" s="30" t="s">
        <v>60</v>
      </c>
      <c r="C69" s="29" t="n">
        <v>507.08</v>
      </c>
      <c r="D69" s="29" t="n">
        <v>411.97</v>
      </c>
      <c r="E69" s="29" t="n">
        <v>183.49</v>
      </c>
      <c r="F69" s="29" t="n">
        <f aca="false">C69+D69/2.5+E69</f>
        <v>855.358</v>
      </c>
    </row>
    <row r="70" customFormat="false" ht="15" hidden="false" customHeight="false" outlineLevel="0" collapsed="false">
      <c r="A70" s="28" t="n">
        <v>43862</v>
      </c>
      <c r="B70" s="30" t="s">
        <v>59</v>
      </c>
      <c r="C70" s="29" t="n">
        <v>533.36</v>
      </c>
      <c r="D70" s="29" t="n">
        <v>384.66</v>
      </c>
      <c r="E70" s="29" t="n">
        <v>192.94</v>
      </c>
      <c r="F70" s="29" t="n">
        <f aca="false">C70+D70/2.5+E70</f>
        <v>880.164</v>
      </c>
    </row>
    <row r="71" customFormat="false" ht="15" hidden="false" customHeight="false" outlineLevel="0" collapsed="false">
      <c r="A71" s="28" t="n">
        <v>43862</v>
      </c>
      <c r="B71" s="30" t="s">
        <v>62</v>
      </c>
      <c r="C71" s="29" t="n">
        <v>412.91</v>
      </c>
      <c r="D71" s="29" t="n">
        <v>441.15</v>
      </c>
      <c r="E71" s="29" t="n">
        <v>127.06</v>
      </c>
      <c r="F71" s="29" t="n">
        <f aca="false">C71+D71/2.5+E71</f>
        <v>716.43</v>
      </c>
    </row>
    <row r="72" customFormat="false" ht="15" hidden="false" customHeight="false" outlineLevel="0" collapsed="false">
      <c r="A72" s="28" t="n">
        <v>43891</v>
      </c>
      <c r="B72" s="30" t="s">
        <v>61</v>
      </c>
      <c r="C72" s="29" t="n">
        <v>446.14</v>
      </c>
      <c r="D72" s="29" t="n">
        <v>368.5</v>
      </c>
      <c r="E72" s="29" t="n">
        <v>152.48</v>
      </c>
      <c r="F72" s="29" t="n">
        <f aca="false">C72+D72/2.5+E72</f>
        <v>746.02</v>
      </c>
    </row>
    <row r="73" customFormat="false" ht="15" hidden="false" customHeight="false" outlineLevel="0" collapsed="false">
      <c r="A73" s="28" t="n">
        <v>43891</v>
      </c>
      <c r="B73" s="30" t="s">
        <v>63</v>
      </c>
      <c r="C73" s="29" t="n">
        <v>362.32</v>
      </c>
      <c r="D73" s="29" t="n">
        <v>397.52</v>
      </c>
      <c r="E73" s="29" t="n">
        <v>158.28</v>
      </c>
      <c r="F73" s="29" t="n">
        <f aca="false">C73+D73/2.5+E73</f>
        <v>679.608</v>
      </c>
    </row>
    <row r="74" customFormat="false" ht="15" hidden="false" customHeight="false" outlineLevel="0" collapsed="false">
      <c r="A74" s="28" t="n">
        <v>43891</v>
      </c>
      <c r="B74" s="30" t="s">
        <v>60</v>
      </c>
      <c r="C74" s="29" t="n">
        <v>482</v>
      </c>
      <c r="D74" s="29" t="n">
        <v>440.74</v>
      </c>
      <c r="E74" s="29" t="n">
        <v>198.6</v>
      </c>
      <c r="F74" s="29" t="n">
        <f aca="false">C74+D74/2.5+E74</f>
        <v>856.896</v>
      </c>
    </row>
    <row r="75" customFormat="false" ht="15" hidden="false" customHeight="false" outlineLevel="0" collapsed="false">
      <c r="A75" s="28" t="n">
        <v>43891</v>
      </c>
      <c r="B75" s="30" t="s">
        <v>59</v>
      </c>
      <c r="C75" s="29" t="n">
        <v>523.87</v>
      </c>
      <c r="D75" s="29" t="n">
        <v>394.04</v>
      </c>
      <c r="E75" s="29" t="n">
        <v>194.43</v>
      </c>
      <c r="F75" s="29" t="n">
        <f aca="false">C75+D75/2.5+E75</f>
        <v>875.916</v>
      </c>
    </row>
    <row r="76" customFormat="false" ht="15" hidden="false" customHeight="false" outlineLevel="0" collapsed="false">
      <c r="A76" s="28" t="n">
        <v>43891</v>
      </c>
      <c r="B76" s="30" t="s">
        <v>62</v>
      </c>
      <c r="C76" s="29" t="n">
        <v>436.89</v>
      </c>
      <c r="D76" s="29" t="n">
        <v>411.42</v>
      </c>
      <c r="E76" s="29" t="n">
        <v>137.9</v>
      </c>
      <c r="F76" s="29" t="n">
        <f aca="false">C76+D76/2.5+E76</f>
        <v>739.358</v>
      </c>
    </row>
    <row r="77" customFormat="false" ht="15" hidden="false" customHeight="false" outlineLevel="0" collapsed="false">
      <c r="A77" s="28" t="n">
        <v>43922</v>
      </c>
      <c r="B77" s="30" t="s">
        <v>61</v>
      </c>
      <c r="C77" s="29" t="n">
        <v>442.03</v>
      </c>
      <c r="D77" s="29" t="n">
        <v>400.18</v>
      </c>
      <c r="E77" s="29" t="n">
        <v>161.68</v>
      </c>
      <c r="F77" s="29" t="n">
        <f aca="false">C77+D77/2.5+E77</f>
        <v>763.782</v>
      </c>
    </row>
    <row r="78" customFormat="false" ht="15" hidden="false" customHeight="false" outlineLevel="0" collapsed="false">
      <c r="A78" s="28" t="n">
        <v>43922</v>
      </c>
      <c r="B78" s="30" t="s">
        <v>63</v>
      </c>
      <c r="C78" s="29" t="n">
        <v>410.15</v>
      </c>
      <c r="D78" s="29" t="n">
        <v>401.82</v>
      </c>
      <c r="E78" s="29" t="n">
        <v>180.4</v>
      </c>
      <c r="F78" s="29" t="n">
        <f aca="false">C78+D78/2.5+E78</f>
        <v>751.278</v>
      </c>
    </row>
    <row r="79" customFormat="false" ht="15" hidden="false" customHeight="false" outlineLevel="0" collapsed="false">
      <c r="A79" s="28" t="n">
        <v>43922</v>
      </c>
      <c r="B79" s="30" t="s">
        <v>60</v>
      </c>
      <c r="C79" s="29" t="n">
        <v>507.17</v>
      </c>
      <c r="D79" s="29" t="n">
        <v>430.37</v>
      </c>
      <c r="E79" s="29" t="n">
        <v>235.21</v>
      </c>
      <c r="F79" s="29" t="n">
        <f aca="false">C79+D79/2.5+E79</f>
        <v>914.528</v>
      </c>
    </row>
    <row r="80" customFormat="false" ht="15" hidden="false" customHeight="false" outlineLevel="0" collapsed="false">
      <c r="A80" s="28" t="n">
        <v>43922</v>
      </c>
      <c r="B80" s="30" t="s">
        <v>59</v>
      </c>
      <c r="C80" s="29" t="n">
        <v>583.11</v>
      </c>
      <c r="D80" s="29" t="n">
        <v>401.46</v>
      </c>
      <c r="E80" s="29" t="n">
        <v>238.61</v>
      </c>
      <c r="F80" s="29" t="n">
        <f aca="false">C80+D80/2.5+E80</f>
        <v>982.304</v>
      </c>
    </row>
    <row r="81" customFormat="false" ht="15" hidden="false" customHeight="false" outlineLevel="0" collapsed="false">
      <c r="A81" s="28" t="n">
        <v>43922</v>
      </c>
      <c r="B81" s="30" t="s">
        <v>62</v>
      </c>
      <c r="C81" s="29" t="n">
        <v>503.09</v>
      </c>
      <c r="D81" s="29" t="n">
        <v>408.41</v>
      </c>
      <c r="E81" s="29" t="n">
        <v>153.87</v>
      </c>
      <c r="F81" s="29" t="n">
        <f aca="false">C81+D81/2.5+E81</f>
        <v>820.324</v>
      </c>
    </row>
    <row r="82" customFormat="false" ht="15" hidden="false" customHeight="false" outlineLevel="0" collapsed="false">
      <c r="A82" s="28" t="n">
        <v>43952</v>
      </c>
      <c r="B82" s="30" t="s">
        <v>61</v>
      </c>
      <c r="C82" s="29" t="n">
        <v>429.24</v>
      </c>
      <c r="D82" s="29" t="n">
        <v>464.98</v>
      </c>
      <c r="E82" s="29" t="n">
        <v>181.42</v>
      </c>
      <c r="F82" s="29" t="n">
        <f aca="false">C82+D82/2.5+E82</f>
        <v>796.652</v>
      </c>
    </row>
    <row r="83" customFormat="false" ht="15" hidden="false" customHeight="false" outlineLevel="0" collapsed="false">
      <c r="A83" s="28" t="n">
        <v>43952</v>
      </c>
      <c r="B83" s="30" t="s">
        <v>63</v>
      </c>
      <c r="C83" s="29" t="n">
        <v>394.37</v>
      </c>
      <c r="D83" s="29" t="n">
        <v>436.59</v>
      </c>
      <c r="E83" s="29" t="n">
        <v>174.98</v>
      </c>
      <c r="F83" s="29" t="n">
        <f aca="false">C83+D83/2.5+E83</f>
        <v>743.986</v>
      </c>
    </row>
    <row r="84" customFormat="false" ht="15" hidden="false" customHeight="false" outlineLevel="0" collapsed="false">
      <c r="A84" s="28" t="n">
        <v>43952</v>
      </c>
      <c r="B84" s="30" t="s">
        <v>60</v>
      </c>
      <c r="C84" s="29" t="n">
        <v>522.56</v>
      </c>
      <c r="D84" s="29" t="n">
        <v>471.78</v>
      </c>
      <c r="E84" s="29" t="n">
        <v>247.6</v>
      </c>
      <c r="F84" s="29" t="n">
        <f aca="false">C84+D84/2.5+E84</f>
        <v>958.872</v>
      </c>
    </row>
    <row r="85" customFormat="false" ht="15" hidden="false" customHeight="false" outlineLevel="0" collapsed="false">
      <c r="A85" s="28" t="n">
        <v>43952</v>
      </c>
      <c r="B85" s="30" t="s">
        <v>59</v>
      </c>
      <c r="C85" s="29" t="n">
        <v>592.01</v>
      </c>
      <c r="D85" s="29" t="n">
        <v>436.99</v>
      </c>
      <c r="E85" s="29" t="n">
        <v>252.07</v>
      </c>
      <c r="F85" s="29" t="n">
        <f aca="false">C85+D85/2.5+E85</f>
        <v>1018.876</v>
      </c>
    </row>
    <row r="86" customFormat="false" ht="15" hidden="false" customHeight="false" outlineLevel="0" collapsed="false">
      <c r="A86" s="28" t="n">
        <v>43952</v>
      </c>
      <c r="B86" s="30" t="s">
        <v>62</v>
      </c>
      <c r="C86" s="29" t="n">
        <v>488.46</v>
      </c>
      <c r="D86" s="29" t="n">
        <v>457.99</v>
      </c>
      <c r="E86" s="29" t="n">
        <v>170.73</v>
      </c>
      <c r="F86" s="29" t="n">
        <f aca="false">C86+D86/2.5+E86</f>
        <v>842.386</v>
      </c>
    </row>
    <row r="87" customFormat="false" ht="15" hidden="false" customHeight="false" outlineLevel="0" collapsed="false">
      <c r="A87" s="28" t="n">
        <v>43983</v>
      </c>
      <c r="B87" s="30" t="s">
        <v>61</v>
      </c>
      <c r="C87" s="29" t="n">
        <v>468.64</v>
      </c>
      <c r="D87" s="29" t="n">
        <v>586.97</v>
      </c>
      <c r="E87" s="29" t="n">
        <v>216.14</v>
      </c>
      <c r="F87" s="29" t="n">
        <f aca="false">C87+D87/2.5+E87</f>
        <v>919.568</v>
      </c>
    </row>
    <row r="88" customFormat="false" ht="15" hidden="false" customHeight="false" outlineLevel="0" collapsed="false">
      <c r="A88" s="28" t="n">
        <v>43983</v>
      </c>
      <c r="B88" s="30" t="s">
        <v>63</v>
      </c>
      <c r="C88" s="29" t="n">
        <v>400.92</v>
      </c>
      <c r="D88" s="29" t="n">
        <v>506.12</v>
      </c>
      <c r="E88" s="29" t="n">
        <v>179.44</v>
      </c>
      <c r="F88" s="29" t="n">
        <f aca="false">C88+D88/2.5+E88</f>
        <v>782.808</v>
      </c>
    </row>
    <row r="89" customFormat="false" ht="15" hidden="false" customHeight="false" outlineLevel="0" collapsed="false">
      <c r="A89" s="28" t="n">
        <v>43983</v>
      </c>
      <c r="B89" s="30" t="s">
        <v>60</v>
      </c>
      <c r="C89" s="29" t="n">
        <v>524.78</v>
      </c>
      <c r="D89" s="29" t="n">
        <v>557.26</v>
      </c>
      <c r="E89" s="29" t="n">
        <v>273.58</v>
      </c>
      <c r="F89" s="29" t="n">
        <f aca="false">C89+D89/2.5+E89</f>
        <v>1021.264</v>
      </c>
    </row>
    <row r="90" customFormat="false" ht="15" hidden="false" customHeight="false" outlineLevel="0" collapsed="false">
      <c r="A90" s="28" t="n">
        <v>43983</v>
      </c>
      <c r="B90" s="30" t="s">
        <v>59</v>
      </c>
      <c r="C90" s="29" t="n">
        <v>597.59</v>
      </c>
      <c r="D90" s="29" t="n">
        <v>521.74</v>
      </c>
      <c r="E90" s="29" t="n">
        <v>271.53</v>
      </c>
      <c r="F90" s="29" t="n">
        <f aca="false">C90+D90/2.5+E90</f>
        <v>1077.816</v>
      </c>
    </row>
    <row r="91" customFormat="false" ht="15" hidden="false" customHeight="false" outlineLevel="0" collapsed="false">
      <c r="A91" s="28" t="n">
        <v>43983</v>
      </c>
      <c r="B91" s="30" t="s">
        <v>62</v>
      </c>
      <c r="C91" s="29" t="n">
        <v>503.97</v>
      </c>
      <c r="D91" s="29" t="n">
        <v>494.39</v>
      </c>
      <c r="E91" s="29" t="n">
        <v>171.82</v>
      </c>
      <c r="F91" s="29" t="n">
        <f aca="false">C91+D91/2.5+E91</f>
        <v>873.546</v>
      </c>
    </row>
    <row r="92" customFormat="false" ht="15" hidden="false" customHeight="false" outlineLevel="0" collapsed="false">
      <c r="A92" s="28" t="n">
        <v>44013</v>
      </c>
      <c r="B92" s="30" t="s">
        <v>61</v>
      </c>
      <c r="C92" s="29" t="n">
        <v>474.15</v>
      </c>
      <c r="D92" s="29" t="n">
        <v>648.46</v>
      </c>
      <c r="E92" s="29" t="n">
        <v>220.95</v>
      </c>
      <c r="F92" s="29" t="n">
        <f aca="false">C92+D92/2.5+E92</f>
        <v>954.484</v>
      </c>
    </row>
    <row r="93" customFormat="false" ht="15" hidden="false" customHeight="false" outlineLevel="0" collapsed="false">
      <c r="A93" s="28" t="n">
        <v>44013</v>
      </c>
      <c r="B93" s="30" t="s">
        <v>63</v>
      </c>
      <c r="C93" s="29" t="n">
        <v>416.06</v>
      </c>
      <c r="D93" s="29" t="n">
        <v>603.98</v>
      </c>
      <c r="E93" s="29" t="n">
        <v>192.18</v>
      </c>
      <c r="F93" s="29" t="n">
        <f aca="false">C93+D93/2.5+E93</f>
        <v>849.832</v>
      </c>
    </row>
    <row r="94" customFormat="false" ht="15" hidden="false" customHeight="false" outlineLevel="0" collapsed="false">
      <c r="A94" s="28" t="n">
        <v>44013</v>
      </c>
      <c r="B94" s="30" t="s">
        <v>60</v>
      </c>
      <c r="C94" s="29" t="n">
        <v>540.39</v>
      </c>
      <c r="D94" s="29" t="n">
        <v>697.33</v>
      </c>
      <c r="E94" s="29" t="n">
        <v>290.25</v>
      </c>
      <c r="F94" s="29" t="n">
        <f aca="false">C94+D94/2.5+E94</f>
        <v>1109.572</v>
      </c>
    </row>
    <row r="95" customFormat="false" ht="15" hidden="false" customHeight="false" outlineLevel="0" collapsed="false">
      <c r="A95" s="28" t="n">
        <v>44013</v>
      </c>
      <c r="B95" s="30" t="s">
        <v>59</v>
      </c>
      <c r="C95" s="29" t="n">
        <v>600.57</v>
      </c>
      <c r="D95" s="29" t="n">
        <v>662.67</v>
      </c>
      <c r="E95" s="29" t="n">
        <v>273.56</v>
      </c>
      <c r="F95" s="29" t="n">
        <f aca="false">C95+D95/2.5+E95</f>
        <v>1139.198</v>
      </c>
    </row>
    <row r="96" customFormat="false" ht="15" hidden="false" customHeight="false" outlineLevel="0" collapsed="false">
      <c r="A96" s="28" t="n">
        <v>44013</v>
      </c>
      <c r="B96" s="30" t="s">
        <v>62</v>
      </c>
      <c r="C96" s="29" t="n">
        <v>527.42</v>
      </c>
      <c r="D96" s="29" t="n">
        <v>654.69</v>
      </c>
      <c r="E96" s="29" t="n">
        <v>182.37</v>
      </c>
      <c r="F96" s="29" t="n">
        <f aca="false">C96+D96/2.5+E96</f>
        <v>971.666</v>
      </c>
    </row>
    <row r="97" customFormat="false" ht="15" hidden="false" customHeight="false" outlineLevel="0" collapsed="false">
      <c r="A97" s="28" t="n">
        <v>44044</v>
      </c>
      <c r="B97" s="30" t="s">
        <v>61</v>
      </c>
      <c r="C97" s="29" t="n">
        <v>482.56</v>
      </c>
      <c r="D97" s="29" t="n">
        <v>679.65</v>
      </c>
      <c r="E97" s="29" t="n">
        <v>217.61</v>
      </c>
      <c r="F97" s="29" t="n">
        <f aca="false">C97+D97/2.5+E97</f>
        <v>972.03</v>
      </c>
    </row>
    <row r="98" customFormat="false" ht="15" hidden="false" customHeight="false" outlineLevel="0" collapsed="false">
      <c r="A98" s="28" t="n">
        <v>44044</v>
      </c>
      <c r="B98" s="30" t="s">
        <v>63</v>
      </c>
      <c r="C98" s="29" t="n">
        <v>438.06</v>
      </c>
      <c r="D98" s="29" t="n">
        <v>610.6</v>
      </c>
      <c r="E98" s="29" t="n">
        <v>186.87</v>
      </c>
      <c r="F98" s="29" t="n">
        <f aca="false">C98+D98/2.5+E98</f>
        <v>869.17</v>
      </c>
    </row>
    <row r="99" customFormat="false" ht="15" hidden="false" customHeight="false" outlineLevel="0" collapsed="false">
      <c r="A99" s="28" t="n">
        <v>44044</v>
      </c>
      <c r="B99" s="30" t="s">
        <v>60</v>
      </c>
      <c r="C99" s="29" t="n">
        <v>563.21</v>
      </c>
      <c r="D99" s="29" t="n">
        <v>807.36</v>
      </c>
      <c r="E99" s="29" t="n">
        <v>288.96</v>
      </c>
      <c r="F99" s="29" t="n">
        <f aca="false">C99+D99/2.5+E99</f>
        <v>1175.114</v>
      </c>
    </row>
    <row r="100" customFormat="false" ht="15" hidden="false" customHeight="false" outlineLevel="0" collapsed="false">
      <c r="A100" s="28" t="n">
        <v>44044</v>
      </c>
      <c r="B100" s="30" t="s">
        <v>59</v>
      </c>
      <c r="C100" s="29" t="n">
        <v>606.72</v>
      </c>
      <c r="D100" s="29" t="n">
        <v>811.6</v>
      </c>
      <c r="E100" s="29" t="n">
        <v>289.61</v>
      </c>
      <c r="F100" s="29" t="n">
        <f aca="false">C100+D100/2.5+E100</f>
        <v>1220.97</v>
      </c>
    </row>
    <row r="101" customFormat="false" ht="15" hidden="false" customHeight="false" outlineLevel="0" collapsed="false">
      <c r="A101" s="28" t="n">
        <v>44044</v>
      </c>
      <c r="B101" s="30" t="s">
        <v>62</v>
      </c>
      <c r="C101" s="29" t="n">
        <v>531.96</v>
      </c>
      <c r="D101" s="29" t="n">
        <v>762.96</v>
      </c>
      <c r="E101" s="29" t="n">
        <v>188.93</v>
      </c>
      <c r="F101" s="29" t="n">
        <f aca="false">C101+D101/2.5+E101</f>
        <v>1026.074</v>
      </c>
    </row>
    <row r="102" customFormat="false" ht="15" hidden="false" customHeight="false" outlineLevel="0" collapsed="false">
      <c r="A102" s="28" t="n">
        <v>44075</v>
      </c>
      <c r="B102" s="30" t="s">
        <v>61</v>
      </c>
      <c r="C102" s="29" t="n">
        <v>488.86</v>
      </c>
      <c r="D102" s="29" t="n">
        <v>673.71</v>
      </c>
      <c r="E102" s="29" t="n">
        <v>225.61</v>
      </c>
      <c r="F102" s="29" t="n">
        <f aca="false">C102+D102/2.5+E102</f>
        <v>983.954</v>
      </c>
    </row>
    <row r="103" customFormat="false" ht="15" hidden="false" customHeight="false" outlineLevel="0" collapsed="false">
      <c r="A103" s="28" t="n">
        <v>44075</v>
      </c>
      <c r="B103" s="30" t="s">
        <v>63</v>
      </c>
      <c r="C103" s="29" t="n">
        <v>438.58</v>
      </c>
      <c r="D103" s="29" t="n">
        <v>622.12</v>
      </c>
      <c r="E103" s="29" t="n">
        <v>196.23</v>
      </c>
      <c r="F103" s="29" t="n">
        <f aca="false">C103+D103/2.5+E103</f>
        <v>883.658</v>
      </c>
    </row>
    <row r="104" customFormat="false" ht="15" hidden="false" customHeight="false" outlineLevel="0" collapsed="false">
      <c r="A104" s="28" t="n">
        <v>44075</v>
      </c>
      <c r="B104" s="30" t="s">
        <v>60</v>
      </c>
      <c r="C104" s="29" t="n">
        <v>616.79</v>
      </c>
      <c r="D104" s="29" t="n">
        <v>788.96</v>
      </c>
      <c r="E104" s="29" t="n">
        <v>305.69</v>
      </c>
      <c r="F104" s="29" t="n">
        <f aca="false">C104+D104/2.5+E104</f>
        <v>1238.064</v>
      </c>
    </row>
    <row r="105" customFormat="false" ht="15" hidden="false" customHeight="false" outlineLevel="0" collapsed="false">
      <c r="A105" s="28" t="n">
        <v>44075</v>
      </c>
      <c r="B105" s="30" t="s">
        <v>59</v>
      </c>
      <c r="C105" s="29" t="n">
        <v>628.93</v>
      </c>
      <c r="D105" s="29" t="n">
        <v>802.21</v>
      </c>
      <c r="E105" s="29" t="n">
        <v>307.87</v>
      </c>
      <c r="F105" s="29" t="n">
        <f aca="false">C105+D105/2.5+E105</f>
        <v>1257.684</v>
      </c>
    </row>
    <row r="106" customFormat="false" ht="15" hidden="false" customHeight="false" outlineLevel="0" collapsed="false">
      <c r="A106" s="28" t="n">
        <v>44075</v>
      </c>
      <c r="B106" s="30" t="s">
        <v>62</v>
      </c>
      <c r="C106" s="29" t="n">
        <v>542.79</v>
      </c>
      <c r="D106" s="29" t="n">
        <v>775.41</v>
      </c>
      <c r="E106" s="29" t="n">
        <v>202.29</v>
      </c>
      <c r="F106" s="29" t="n">
        <f aca="false">C106+D106/2.5+E106</f>
        <v>1055.244</v>
      </c>
    </row>
    <row r="107" customFormat="false" ht="15" hidden="false" customHeight="false" outlineLevel="0" collapsed="false">
      <c r="A107" s="28" t="n">
        <v>44105</v>
      </c>
      <c r="B107" s="30" t="s">
        <v>61</v>
      </c>
      <c r="C107" s="29" t="n">
        <v>495.9</v>
      </c>
      <c r="D107" s="29" t="n">
        <v>525.26</v>
      </c>
      <c r="E107" s="29" t="n">
        <v>225.36</v>
      </c>
      <c r="F107" s="29" t="n">
        <f aca="false">C107+D107/2.5+E107</f>
        <v>931.364</v>
      </c>
    </row>
    <row r="108" customFormat="false" ht="15" hidden="false" customHeight="false" outlineLevel="0" collapsed="false">
      <c r="A108" s="28" t="n">
        <v>44105</v>
      </c>
      <c r="B108" s="30" t="s">
        <v>63</v>
      </c>
      <c r="C108" s="29" t="n">
        <v>444.28</v>
      </c>
      <c r="D108" s="29" t="n">
        <v>479.85</v>
      </c>
      <c r="E108" s="29" t="n">
        <v>200.14</v>
      </c>
      <c r="F108" s="29" t="n">
        <f aca="false">C108+D108/2.5+E108</f>
        <v>836.36</v>
      </c>
    </row>
    <row r="109" customFormat="false" ht="15" hidden="false" customHeight="false" outlineLevel="0" collapsed="false">
      <c r="A109" s="28" t="n">
        <v>44105</v>
      </c>
      <c r="B109" s="30" t="s">
        <v>60</v>
      </c>
      <c r="C109" s="29" t="n">
        <v>659.53</v>
      </c>
      <c r="D109" s="29" t="n">
        <v>593.59</v>
      </c>
      <c r="E109" s="29" t="n">
        <v>330.12</v>
      </c>
      <c r="F109" s="29" t="n">
        <f aca="false">C109+D109/2.5+E109</f>
        <v>1227.086</v>
      </c>
    </row>
    <row r="110" customFormat="false" ht="15" hidden="false" customHeight="false" outlineLevel="0" collapsed="false">
      <c r="A110" s="28" t="n">
        <v>44105</v>
      </c>
      <c r="B110" s="30" t="s">
        <v>59</v>
      </c>
      <c r="C110" s="29" t="n">
        <v>657.97</v>
      </c>
      <c r="D110" s="29" t="n">
        <v>639.24</v>
      </c>
      <c r="E110" s="29" t="n">
        <v>339.37</v>
      </c>
      <c r="F110" s="29" t="n">
        <f aca="false">C110+D110/2.5+E110</f>
        <v>1253.036</v>
      </c>
    </row>
    <row r="111" customFormat="false" ht="15" hidden="false" customHeight="false" outlineLevel="0" collapsed="false">
      <c r="A111" s="28" t="n">
        <v>44105</v>
      </c>
      <c r="B111" s="30" t="s">
        <v>62</v>
      </c>
      <c r="C111" s="29" t="n">
        <v>549.11</v>
      </c>
      <c r="D111" s="29" t="n">
        <v>621.79</v>
      </c>
      <c r="E111" s="29" t="n">
        <v>201.93</v>
      </c>
      <c r="F111" s="29" t="n">
        <f aca="false">C111+D111/2.5+E111</f>
        <v>999.756</v>
      </c>
    </row>
    <row r="112" customFormat="false" ht="15" hidden="false" customHeight="false" outlineLevel="0" collapsed="false">
      <c r="A112" s="28" t="n">
        <v>44136</v>
      </c>
      <c r="B112" s="30" t="s">
        <v>61</v>
      </c>
      <c r="C112" s="29" t="n">
        <v>496.93</v>
      </c>
      <c r="D112" s="29" t="n">
        <v>656.73</v>
      </c>
      <c r="E112" s="29" t="n">
        <v>229.29</v>
      </c>
      <c r="F112" s="29" t="n">
        <f aca="false">C112+D112/2.5+E112</f>
        <v>988.912</v>
      </c>
    </row>
    <row r="113" customFormat="false" ht="15" hidden="false" customHeight="false" outlineLevel="0" collapsed="false">
      <c r="A113" s="28" t="n">
        <v>44136</v>
      </c>
      <c r="B113" s="30" t="s">
        <v>63</v>
      </c>
      <c r="C113" s="29" t="n">
        <v>453.31</v>
      </c>
      <c r="D113" s="29" t="n">
        <v>579.88</v>
      </c>
      <c r="E113" s="29" t="n">
        <v>200.98</v>
      </c>
      <c r="F113" s="29" t="n">
        <f aca="false">C113+D113/2.5+E113</f>
        <v>886.242</v>
      </c>
    </row>
    <row r="114" customFormat="false" ht="15" hidden="false" customHeight="false" outlineLevel="0" collapsed="false">
      <c r="A114" s="28" t="n">
        <v>44136</v>
      </c>
      <c r="B114" s="30" t="s">
        <v>60</v>
      </c>
      <c r="C114" s="29" t="n">
        <v>735.15</v>
      </c>
      <c r="D114" s="29" t="n">
        <v>623.68</v>
      </c>
      <c r="E114" s="29" t="n">
        <v>330.89</v>
      </c>
      <c r="F114" s="29" t="n">
        <f aca="false">C114+D114/2.5+E114</f>
        <v>1315.512</v>
      </c>
    </row>
    <row r="115" customFormat="false" ht="15" hidden="false" customHeight="false" outlineLevel="0" collapsed="false">
      <c r="A115" s="28" t="n">
        <v>44136</v>
      </c>
      <c r="B115" s="30" t="s">
        <v>59</v>
      </c>
      <c r="C115" s="29" t="n">
        <v>696.44</v>
      </c>
      <c r="D115" s="29" t="n">
        <v>656.41</v>
      </c>
      <c r="E115" s="29" t="n">
        <v>308.64</v>
      </c>
      <c r="F115" s="29" t="n">
        <f aca="false">C115+D115/2.5+E115</f>
        <v>1267.644</v>
      </c>
    </row>
    <row r="116" customFormat="false" ht="15" hidden="false" customHeight="false" outlineLevel="0" collapsed="false">
      <c r="A116" s="28" t="n">
        <v>44136</v>
      </c>
      <c r="B116" s="30" t="s">
        <v>62</v>
      </c>
      <c r="C116" s="29" t="n">
        <v>554.44</v>
      </c>
      <c r="D116" s="29" t="n">
        <v>642.31</v>
      </c>
      <c r="E116" s="29" t="n">
        <v>201.17</v>
      </c>
      <c r="F116" s="29" t="n">
        <f aca="false">C116+D116/2.5+E116</f>
        <v>1012.534</v>
      </c>
    </row>
    <row r="117" customFormat="false" ht="15" hidden="false" customHeight="false" outlineLevel="0" collapsed="false">
      <c r="A117" s="28" t="n">
        <v>44166</v>
      </c>
      <c r="B117" s="30" t="s">
        <v>61</v>
      </c>
      <c r="C117" s="29" t="n">
        <v>494.89</v>
      </c>
      <c r="D117" s="29" t="n">
        <v>673.1</v>
      </c>
      <c r="E117" s="29" t="n">
        <v>228.48</v>
      </c>
      <c r="F117" s="29" t="n">
        <f aca="false">C117+D117/2.5+E117</f>
        <v>992.61</v>
      </c>
    </row>
    <row r="118" customFormat="false" ht="15" hidden="false" customHeight="false" outlineLevel="0" collapsed="false">
      <c r="A118" s="28" t="n">
        <v>44166</v>
      </c>
      <c r="B118" s="30" t="s">
        <v>63</v>
      </c>
      <c r="C118" s="29" t="n">
        <v>455.28</v>
      </c>
      <c r="D118" s="29" t="n">
        <v>571.05</v>
      </c>
      <c r="E118" s="29" t="n">
        <v>198.83</v>
      </c>
      <c r="F118" s="29" t="n">
        <f aca="false">C118+D118/2.5+E118</f>
        <v>882.53</v>
      </c>
    </row>
    <row r="119" customFormat="false" ht="15" hidden="false" customHeight="false" outlineLevel="0" collapsed="false">
      <c r="A119" s="28" t="n">
        <v>44166</v>
      </c>
      <c r="B119" s="30" t="s">
        <v>60</v>
      </c>
      <c r="C119" s="29" t="n">
        <v>735.94</v>
      </c>
      <c r="D119" s="29" t="n">
        <v>710.97</v>
      </c>
      <c r="E119" s="29" t="n">
        <v>325.39</v>
      </c>
      <c r="F119" s="29" t="n">
        <f aca="false">C119+D119/2.5+E119</f>
        <v>1345.718</v>
      </c>
    </row>
    <row r="120" customFormat="false" ht="15" hidden="false" customHeight="false" outlineLevel="0" collapsed="false">
      <c r="A120" s="28" t="n">
        <v>44166</v>
      </c>
      <c r="B120" s="30" t="s">
        <v>59</v>
      </c>
      <c r="C120" s="29" t="n">
        <v>707.88</v>
      </c>
      <c r="D120" s="29" t="n">
        <v>697.32</v>
      </c>
      <c r="E120" s="29" t="n">
        <v>290.2</v>
      </c>
      <c r="F120" s="29" t="n">
        <f aca="false">C120+D120/2.5+E120</f>
        <v>1277.008</v>
      </c>
    </row>
    <row r="121" customFormat="false" ht="15" hidden="false" customHeight="false" outlineLevel="0" collapsed="false">
      <c r="A121" s="28" t="n">
        <v>44166</v>
      </c>
      <c r="B121" s="30" t="s">
        <v>62</v>
      </c>
      <c r="C121" s="29" t="n">
        <v>559.34</v>
      </c>
      <c r="D121" s="29" t="n">
        <v>814.75</v>
      </c>
      <c r="E121" s="29" t="n">
        <v>216.39</v>
      </c>
      <c r="F121" s="29" t="n">
        <f aca="false">C121+D121/2.5+E121</f>
        <v>1101.63</v>
      </c>
    </row>
    <row r="122" customFormat="false" ht="15" hidden="false" customHeight="false" outlineLevel="0" collapsed="false">
      <c r="A122" s="28" t="n">
        <v>44197</v>
      </c>
      <c r="B122" s="30" t="s">
        <v>61</v>
      </c>
      <c r="C122" s="29" t="n">
        <v>494.11</v>
      </c>
      <c r="D122" s="29" t="n">
        <v>771.97</v>
      </c>
      <c r="E122" s="29" t="n">
        <v>234.64</v>
      </c>
      <c r="F122" s="29" t="n">
        <f aca="false">C122+D122/2.5+E122</f>
        <v>1037.538</v>
      </c>
    </row>
    <row r="123" customFormat="false" ht="15" hidden="false" customHeight="false" outlineLevel="0" collapsed="false">
      <c r="A123" s="28" t="n">
        <v>44197</v>
      </c>
      <c r="B123" s="30" t="s">
        <v>63</v>
      </c>
      <c r="C123" s="29" t="n">
        <v>450.04</v>
      </c>
      <c r="D123" s="29" t="n">
        <v>681.65</v>
      </c>
      <c r="E123" s="29" t="n">
        <v>197.1</v>
      </c>
      <c r="F123" s="29" t="n">
        <f aca="false">C123+D123/2.5+E123</f>
        <v>919.8</v>
      </c>
    </row>
    <row r="124" customFormat="false" ht="15" hidden="false" customHeight="false" outlineLevel="0" collapsed="false">
      <c r="A124" s="28" t="n">
        <v>44197</v>
      </c>
      <c r="B124" s="30" t="s">
        <v>60</v>
      </c>
      <c r="C124" s="29" t="n">
        <v>717.73</v>
      </c>
      <c r="D124" s="29" t="n">
        <v>807.05</v>
      </c>
      <c r="E124" s="29" t="n">
        <v>328.44</v>
      </c>
      <c r="F124" s="29" t="n">
        <f aca="false">C124+D124/2.5+E124</f>
        <v>1368.99</v>
      </c>
    </row>
    <row r="125" customFormat="false" ht="15" hidden="false" customHeight="false" outlineLevel="0" collapsed="false">
      <c r="A125" s="28" t="n">
        <v>44197</v>
      </c>
      <c r="B125" s="30" t="s">
        <v>59</v>
      </c>
      <c r="C125" s="29" t="n">
        <v>709.47</v>
      </c>
      <c r="D125" s="29" t="n">
        <v>787.7</v>
      </c>
      <c r="E125" s="29" t="n">
        <v>299.22</v>
      </c>
      <c r="F125" s="29" t="n">
        <f aca="false">C125+D125/2.5+E125</f>
        <v>1323.77</v>
      </c>
    </row>
    <row r="126" customFormat="false" ht="15" hidden="false" customHeight="false" outlineLevel="0" collapsed="false">
      <c r="A126" s="28" t="n">
        <v>44197</v>
      </c>
      <c r="B126" s="30" t="s">
        <v>62</v>
      </c>
      <c r="C126" s="29" t="n">
        <v>579.16</v>
      </c>
      <c r="D126" s="29" t="n">
        <v>870.17</v>
      </c>
      <c r="E126" s="29" t="n">
        <v>223.94</v>
      </c>
      <c r="F126" s="29" t="n">
        <f aca="false">C126+D126/2.5+E126</f>
        <v>1151.168</v>
      </c>
    </row>
    <row r="127" customFormat="false" ht="15" hidden="false" customHeight="false" outlineLevel="0" collapsed="false">
      <c r="A127" s="28" t="n">
        <v>44228</v>
      </c>
      <c r="B127" s="30" t="s">
        <v>61</v>
      </c>
      <c r="C127" s="29" t="n">
        <v>473.36</v>
      </c>
      <c r="D127" s="29" t="n">
        <v>854.53</v>
      </c>
      <c r="E127" s="29" t="n">
        <v>235.19</v>
      </c>
      <c r="F127" s="29" t="n">
        <f aca="false">C127+D127/2.5+E127</f>
        <v>1050.362</v>
      </c>
    </row>
    <row r="128" customFormat="false" ht="15" hidden="false" customHeight="false" outlineLevel="0" collapsed="false">
      <c r="A128" s="28" t="n">
        <v>44228</v>
      </c>
      <c r="B128" s="30" t="s">
        <v>63</v>
      </c>
      <c r="C128" s="29" t="n">
        <v>467.72</v>
      </c>
      <c r="D128" s="29" t="n">
        <v>769.06</v>
      </c>
      <c r="E128" s="29" t="n">
        <v>218.94</v>
      </c>
      <c r="F128" s="29" t="n">
        <f aca="false">C128+D128/2.5+E128</f>
        <v>994.284</v>
      </c>
    </row>
    <row r="129" customFormat="false" ht="15" hidden="false" customHeight="false" outlineLevel="0" collapsed="false">
      <c r="A129" s="28" t="n">
        <v>44228</v>
      </c>
      <c r="B129" s="30" t="s">
        <v>60</v>
      </c>
      <c r="C129" s="29" t="n">
        <v>657.36</v>
      </c>
      <c r="D129" s="29" t="n">
        <v>930.74</v>
      </c>
      <c r="E129" s="29" t="n">
        <v>361.47</v>
      </c>
      <c r="F129" s="29" t="n">
        <f aca="false">C129+D129/2.5+E129</f>
        <v>1391.126</v>
      </c>
    </row>
    <row r="130" customFormat="false" ht="15" hidden="false" customHeight="false" outlineLevel="0" collapsed="false">
      <c r="A130" s="28" t="n">
        <v>44228</v>
      </c>
      <c r="B130" s="30" t="s">
        <v>59</v>
      </c>
      <c r="C130" s="29" t="n">
        <v>676.58</v>
      </c>
      <c r="D130" s="29" t="n">
        <v>901.37</v>
      </c>
      <c r="E130" s="29" t="n">
        <v>320.92</v>
      </c>
      <c r="F130" s="29" t="n">
        <f aca="false">C130+D130/2.5+E130</f>
        <v>1358.048</v>
      </c>
    </row>
    <row r="131" customFormat="false" ht="15" hidden="false" customHeight="false" outlineLevel="0" collapsed="false">
      <c r="A131" s="28" t="n">
        <v>44228</v>
      </c>
      <c r="B131" s="30" t="s">
        <v>62</v>
      </c>
      <c r="C131" s="29" t="n">
        <v>580.6</v>
      </c>
      <c r="D131" s="29" t="n">
        <v>944.74</v>
      </c>
      <c r="E131" s="29" t="n">
        <v>243.77</v>
      </c>
      <c r="F131" s="29" t="n">
        <f aca="false">C131+D131/2.5+E131</f>
        <v>1202.266</v>
      </c>
    </row>
    <row r="132" customFormat="false" ht="15" hidden="false" customHeight="false" outlineLevel="0" collapsed="false">
      <c r="A132" s="28" t="n">
        <v>44256</v>
      </c>
      <c r="B132" s="30" t="s">
        <v>61</v>
      </c>
      <c r="C132" s="29" t="n">
        <v>484.22</v>
      </c>
      <c r="D132" s="29" t="n">
        <v>1001.08</v>
      </c>
      <c r="E132" s="29" t="n">
        <v>243.01</v>
      </c>
      <c r="F132" s="29" t="n">
        <f aca="false">C132+D132/2.5+E132</f>
        <v>1127.662</v>
      </c>
    </row>
    <row r="133" customFormat="false" ht="15" hidden="false" customHeight="false" outlineLevel="0" collapsed="false">
      <c r="A133" s="28" t="n">
        <v>44256</v>
      </c>
      <c r="B133" s="30" t="s">
        <v>63</v>
      </c>
      <c r="C133" s="29" t="n">
        <v>479.44</v>
      </c>
      <c r="D133" s="29" t="n">
        <v>932.05</v>
      </c>
      <c r="E133" s="29" t="n">
        <v>229.91</v>
      </c>
      <c r="F133" s="29" t="n">
        <f aca="false">C133+D133/2.5+E133</f>
        <v>1082.17</v>
      </c>
    </row>
    <row r="134" customFormat="false" ht="15" hidden="false" customHeight="false" outlineLevel="0" collapsed="false">
      <c r="A134" s="28" t="n">
        <v>44256</v>
      </c>
      <c r="B134" s="30" t="s">
        <v>60</v>
      </c>
      <c r="C134" s="29" t="n">
        <v>669.79</v>
      </c>
      <c r="D134" s="29" t="n">
        <v>1108.89</v>
      </c>
      <c r="E134" s="29" t="n">
        <v>395.5</v>
      </c>
      <c r="F134" s="29" t="n">
        <f aca="false">C134+D134/2.5+E134</f>
        <v>1508.846</v>
      </c>
    </row>
    <row r="135" customFormat="false" ht="15" hidden="false" customHeight="false" outlineLevel="0" collapsed="false">
      <c r="A135" s="28" t="n">
        <v>44256</v>
      </c>
      <c r="B135" s="30" t="s">
        <v>59</v>
      </c>
      <c r="C135" s="29" t="n">
        <v>694.89</v>
      </c>
      <c r="D135" s="29" t="n">
        <v>1049.13</v>
      </c>
      <c r="E135" s="29" t="n">
        <v>331.02</v>
      </c>
      <c r="F135" s="29" t="n">
        <f aca="false">C135+D135/2.5+E135</f>
        <v>1445.562</v>
      </c>
    </row>
    <row r="136" customFormat="false" ht="15" hidden="false" customHeight="false" outlineLevel="0" collapsed="false">
      <c r="A136" s="28" t="n">
        <v>44256</v>
      </c>
      <c r="B136" s="30" t="s">
        <v>62</v>
      </c>
      <c r="C136" s="29" t="n">
        <v>566.04</v>
      </c>
      <c r="D136" s="29" t="n">
        <v>1043.77</v>
      </c>
      <c r="E136" s="29" t="n">
        <v>268.92</v>
      </c>
      <c r="F136" s="29" t="n">
        <f aca="false">C136+D136/2.5+E136</f>
        <v>1252.468</v>
      </c>
    </row>
    <row r="137" customFormat="false" ht="15" hidden="false" customHeight="false" outlineLevel="0" collapsed="false">
      <c r="A137" s="28" t="n">
        <v>44287</v>
      </c>
      <c r="B137" s="30" t="s">
        <v>61</v>
      </c>
      <c r="C137" s="29" t="n">
        <v>484.09</v>
      </c>
      <c r="D137" s="29" t="n">
        <v>999.56</v>
      </c>
      <c r="E137" s="29" t="n">
        <v>241.59</v>
      </c>
      <c r="F137" s="29" t="n">
        <f aca="false">C137+D137/2.5+E137</f>
        <v>1125.504</v>
      </c>
    </row>
    <row r="138" customFormat="false" ht="15" hidden="false" customHeight="false" outlineLevel="0" collapsed="false">
      <c r="A138" s="28" t="n">
        <v>44287</v>
      </c>
      <c r="B138" s="30" t="s">
        <v>63</v>
      </c>
      <c r="C138" s="29" t="n">
        <v>496.63</v>
      </c>
      <c r="D138" s="29" t="n">
        <v>953.48</v>
      </c>
      <c r="E138" s="29" t="n">
        <v>250.09</v>
      </c>
      <c r="F138" s="29" t="n">
        <f aca="false">C138+D138/2.5+E138</f>
        <v>1128.112</v>
      </c>
    </row>
    <row r="139" customFormat="false" ht="15" hidden="false" customHeight="false" outlineLevel="0" collapsed="false">
      <c r="A139" s="28" t="n">
        <v>44287</v>
      </c>
      <c r="B139" s="30" t="s">
        <v>60</v>
      </c>
      <c r="C139" s="29" t="n">
        <v>650.11</v>
      </c>
      <c r="D139" s="29" t="n">
        <v>1147.16</v>
      </c>
      <c r="E139" s="29" t="n">
        <v>388.08</v>
      </c>
      <c r="F139" s="29" t="n">
        <f aca="false">C139+D139/2.5+E139</f>
        <v>1497.054</v>
      </c>
    </row>
    <row r="140" customFormat="false" ht="15" hidden="false" customHeight="false" outlineLevel="0" collapsed="false">
      <c r="A140" s="28" t="n">
        <v>44287</v>
      </c>
      <c r="B140" s="30" t="s">
        <v>59</v>
      </c>
      <c r="C140" s="29" t="n">
        <v>664.97</v>
      </c>
      <c r="D140" s="29" t="n">
        <v>1050.91</v>
      </c>
      <c r="E140" s="29" t="n">
        <v>319.27</v>
      </c>
      <c r="F140" s="29" t="n">
        <f aca="false">C140+D140/2.5+E140</f>
        <v>1404.604</v>
      </c>
    </row>
    <row r="141" customFormat="false" ht="15" hidden="false" customHeight="false" outlineLevel="0" collapsed="false">
      <c r="A141" s="28" t="n">
        <v>44287</v>
      </c>
      <c r="B141" s="30" t="s">
        <v>62</v>
      </c>
      <c r="C141" s="29" t="n">
        <v>574.08</v>
      </c>
      <c r="D141" s="29" t="n">
        <v>1079.22</v>
      </c>
      <c r="E141" s="29" t="n">
        <v>278.55</v>
      </c>
      <c r="F141" s="29" t="n">
        <f aca="false">C141+D141/2.5+E141</f>
        <v>1284.318</v>
      </c>
    </row>
    <row r="142" customFormat="false" ht="15" hidden="false" customHeight="false" outlineLevel="0" collapsed="false">
      <c r="A142" s="28" t="n">
        <v>44317</v>
      </c>
      <c r="B142" s="30" t="s">
        <v>61</v>
      </c>
      <c r="C142" s="29" t="n">
        <v>488.8</v>
      </c>
      <c r="D142" s="29" t="n">
        <v>1070.73</v>
      </c>
      <c r="E142" s="29" t="n">
        <v>256.07</v>
      </c>
      <c r="F142" s="29" t="n">
        <f aca="false">C142+D142/2.5+E142</f>
        <v>1173.162</v>
      </c>
    </row>
    <row r="143" customFormat="false" ht="15" hidden="false" customHeight="false" outlineLevel="0" collapsed="false">
      <c r="A143" s="28" t="n">
        <v>44317</v>
      </c>
      <c r="B143" s="30" t="s">
        <v>63</v>
      </c>
      <c r="C143" s="29" t="n">
        <v>505.23</v>
      </c>
      <c r="D143" s="29" t="n">
        <v>1015.41</v>
      </c>
      <c r="E143" s="29" t="n">
        <v>252.38</v>
      </c>
      <c r="F143" s="29" t="n">
        <f aca="false">C143+D143/2.5+E143</f>
        <v>1163.774</v>
      </c>
    </row>
    <row r="144" customFormat="false" ht="15" hidden="false" customHeight="false" outlineLevel="0" collapsed="false">
      <c r="A144" s="28" t="n">
        <v>44317</v>
      </c>
      <c r="B144" s="30" t="s">
        <v>60</v>
      </c>
      <c r="C144" s="29" t="n">
        <v>655.02</v>
      </c>
      <c r="D144" s="29" t="n">
        <v>1241.59</v>
      </c>
      <c r="E144" s="29" t="n">
        <v>445.18</v>
      </c>
      <c r="F144" s="29" t="n">
        <f aca="false">C144+D144/2.5+E144</f>
        <v>1596.836</v>
      </c>
    </row>
    <row r="145" customFormat="false" ht="15" hidden="false" customHeight="false" outlineLevel="0" collapsed="false">
      <c r="A145" s="28" t="n">
        <v>44317</v>
      </c>
      <c r="B145" s="30" t="s">
        <v>59</v>
      </c>
      <c r="C145" s="29" t="n">
        <v>659.88</v>
      </c>
      <c r="D145" s="29" t="n">
        <v>1176.52</v>
      </c>
      <c r="E145" s="29" t="n">
        <v>378.95</v>
      </c>
      <c r="F145" s="29" t="n">
        <f aca="false">C145+D145/2.5+E145</f>
        <v>1509.438</v>
      </c>
    </row>
    <row r="146" customFormat="false" ht="15" hidden="false" customHeight="false" outlineLevel="0" collapsed="false">
      <c r="A146" s="28" t="n">
        <v>44317</v>
      </c>
      <c r="B146" s="30" t="s">
        <v>62</v>
      </c>
      <c r="C146" s="29" t="n">
        <v>580.13</v>
      </c>
      <c r="D146" s="29" t="n">
        <v>1171.04</v>
      </c>
      <c r="E146" s="29" t="n">
        <v>307.26</v>
      </c>
      <c r="F146" s="29" t="n">
        <f aca="false">C146+D146/2.5+E146</f>
        <v>1355.806</v>
      </c>
    </row>
    <row r="147" customFormat="false" ht="15" hidden="false" customHeight="false" outlineLevel="0" collapsed="false">
      <c r="A147" s="28" t="n">
        <v>44348</v>
      </c>
      <c r="B147" s="30" t="s">
        <v>61</v>
      </c>
      <c r="C147" s="29" t="n">
        <v>490.16</v>
      </c>
      <c r="D147" s="29" t="n">
        <v>1207.83</v>
      </c>
      <c r="E147" s="29" t="n">
        <v>264.21</v>
      </c>
      <c r="F147" s="29" t="n">
        <f aca="false">C147+D147/2.5+E147</f>
        <v>1237.502</v>
      </c>
    </row>
    <row r="148" customFormat="false" ht="15" hidden="false" customHeight="false" outlineLevel="0" collapsed="false">
      <c r="A148" s="28" t="n">
        <v>44348</v>
      </c>
      <c r="B148" s="30" t="s">
        <v>63</v>
      </c>
      <c r="C148" s="29" t="n">
        <v>512.32</v>
      </c>
      <c r="D148" s="29" t="n">
        <v>1120.02</v>
      </c>
      <c r="E148" s="29" t="n">
        <v>263.6</v>
      </c>
      <c r="F148" s="29" t="n">
        <f aca="false">C148+D148/2.5+E148</f>
        <v>1223.928</v>
      </c>
    </row>
    <row r="149" customFormat="false" ht="15" hidden="false" customHeight="false" outlineLevel="0" collapsed="false">
      <c r="A149" s="28" t="n">
        <v>44348</v>
      </c>
      <c r="B149" s="30" t="s">
        <v>60</v>
      </c>
      <c r="C149" s="29" t="n">
        <v>705.62</v>
      </c>
      <c r="D149" s="29" t="n">
        <v>1378.78</v>
      </c>
      <c r="E149" s="29" t="n">
        <v>479.63</v>
      </c>
      <c r="F149" s="29" t="n">
        <f aca="false">C149+D149/2.5+E149</f>
        <v>1736.762</v>
      </c>
    </row>
    <row r="150" customFormat="false" ht="15" hidden="false" customHeight="false" outlineLevel="0" collapsed="false">
      <c r="A150" s="28" t="n">
        <v>44348</v>
      </c>
      <c r="B150" s="30" t="s">
        <v>59</v>
      </c>
      <c r="C150" s="29" t="n">
        <v>655.96</v>
      </c>
      <c r="D150" s="29" t="n">
        <v>1450.29</v>
      </c>
      <c r="E150" s="29" t="n">
        <v>424.21</v>
      </c>
      <c r="F150" s="29" t="n">
        <f aca="false">C150+D150/2.5+E150</f>
        <v>1660.286</v>
      </c>
    </row>
    <row r="151" customFormat="false" ht="15" hidden="false" customHeight="false" outlineLevel="0" collapsed="false">
      <c r="A151" s="28" t="n">
        <v>44348</v>
      </c>
      <c r="B151" s="30" t="s">
        <v>62</v>
      </c>
      <c r="C151" s="29" t="n">
        <v>623.53</v>
      </c>
      <c r="D151" s="29" t="n">
        <v>1304.73</v>
      </c>
      <c r="E151" s="29" t="n">
        <v>344.48</v>
      </c>
      <c r="F151" s="29" t="n">
        <f aca="false">C151+D151/2.5+E151</f>
        <v>1489.902</v>
      </c>
    </row>
    <row r="152" customFormat="false" ht="15" hidden="false" customHeight="false" outlineLevel="0" collapsed="false">
      <c r="A152" s="28" t="n">
        <v>44378</v>
      </c>
      <c r="B152" s="30" t="s">
        <v>61</v>
      </c>
      <c r="C152" s="29" t="n">
        <v>492.4</v>
      </c>
      <c r="D152" s="29" t="n">
        <v>1317.98</v>
      </c>
      <c r="E152" s="29" t="n">
        <v>269.56</v>
      </c>
      <c r="F152" s="29" t="n">
        <f aca="false">C152+D152/2.5+E152</f>
        <v>1289.152</v>
      </c>
    </row>
    <row r="153" customFormat="false" ht="15" hidden="false" customHeight="false" outlineLevel="0" collapsed="false">
      <c r="A153" s="28" t="n">
        <v>44378</v>
      </c>
      <c r="B153" s="30" t="s">
        <v>63</v>
      </c>
      <c r="C153" s="29" t="n">
        <v>489.88</v>
      </c>
      <c r="D153" s="29" t="n">
        <v>1269.66</v>
      </c>
      <c r="E153" s="29" t="n">
        <v>277.18</v>
      </c>
      <c r="F153" s="29" t="n">
        <f aca="false">C153+D153/2.5+E153</f>
        <v>1274.924</v>
      </c>
    </row>
    <row r="154" customFormat="false" ht="15" hidden="false" customHeight="false" outlineLevel="0" collapsed="false">
      <c r="A154" s="28" t="n">
        <v>44378</v>
      </c>
      <c r="B154" s="30" t="s">
        <v>60</v>
      </c>
      <c r="C154" s="29" t="n">
        <v>705.87</v>
      </c>
      <c r="D154" s="29" t="n">
        <v>1454.88</v>
      </c>
      <c r="E154" s="29" t="n">
        <v>481.53</v>
      </c>
      <c r="F154" s="29" t="n">
        <f aca="false">C154+D154/2.5+E154</f>
        <v>1769.352</v>
      </c>
    </row>
    <row r="155" customFormat="false" ht="15" hidden="false" customHeight="false" outlineLevel="0" collapsed="false">
      <c r="A155" s="28" t="n">
        <v>44378</v>
      </c>
      <c r="B155" s="30" t="s">
        <v>59</v>
      </c>
      <c r="C155" s="29" t="n">
        <v>661</v>
      </c>
      <c r="D155" s="29" t="n">
        <v>1491.32</v>
      </c>
      <c r="E155" s="29" t="n">
        <v>420.14</v>
      </c>
      <c r="F155" s="29" t="n">
        <f aca="false">C155+D155/2.5+E155</f>
        <v>1677.668</v>
      </c>
    </row>
    <row r="156" customFormat="false" ht="15" hidden="false" customHeight="false" outlineLevel="0" collapsed="false">
      <c r="A156" s="28" t="n">
        <v>44378</v>
      </c>
      <c r="B156" s="30" t="s">
        <v>62</v>
      </c>
      <c r="C156" s="29" t="n">
        <v>599.72</v>
      </c>
      <c r="D156" s="29" t="n">
        <v>1431.81</v>
      </c>
      <c r="E156" s="29" t="n">
        <v>350.62</v>
      </c>
      <c r="F156" s="29" t="n">
        <f aca="false">C156+D156/2.5+E156</f>
        <v>1523.064</v>
      </c>
    </row>
    <row r="157" customFormat="false" ht="15" hidden="false" customHeight="false" outlineLevel="0" collapsed="false">
      <c r="A157" s="28" t="n">
        <v>44409</v>
      </c>
      <c r="B157" s="30" t="s">
        <v>61</v>
      </c>
      <c r="C157" s="29" t="n">
        <v>493.81</v>
      </c>
      <c r="D157" s="29" t="n">
        <v>1274.06</v>
      </c>
      <c r="E157" s="29" t="n">
        <v>275.13</v>
      </c>
      <c r="F157" s="29" t="n">
        <f aca="false">C157+D157/2.5+E157</f>
        <v>1278.564</v>
      </c>
    </row>
    <row r="158" customFormat="false" ht="15" hidden="false" customHeight="false" outlineLevel="0" collapsed="false">
      <c r="A158" s="28" t="n">
        <v>44409</v>
      </c>
      <c r="B158" s="30" t="s">
        <v>63</v>
      </c>
      <c r="C158" s="29" t="n">
        <v>492.33</v>
      </c>
      <c r="D158" s="29" t="n">
        <v>1203.82</v>
      </c>
      <c r="E158" s="29" t="n">
        <v>284.77</v>
      </c>
      <c r="F158" s="29" t="n">
        <f aca="false">C158+D158/2.5+E158</f>
        <v>1258.628</v>
      </c>
    </row>
    <row r="159" customFormat="false" ht="15" hidden="false" customHeight="false" outlineLevel="0" collapsed="false">
      <c r="A159" s="28" t="n">
        <v>44409</v>
      </c>
      <c r="B159" s="30" t="s">
        <v>60</v>
      </c>
      <c r="C159" s="29" t="n">
        <v>694.7</v>
      </c>
      <c r="D159" s="29" t="n">
        <v>1269.77</v>
      </c>
      <c r="E159" s="29" t="n">
        <v>432.75</v>
      </c>
      <c r="F159" s="29" t="n">
        <f aca="false">C159+D159/2.5+E159</f>
        <v>1635.358</v>
      </c>
    </row>
    <row r="160" customFormat="false" ht="15" hidden="false" customHeight="false" outlineLevel="0" collapsed="false">
      <c r="A160" s="28" t="n">
        <v>44409</v>
      </c>
      <c r="B160" s="30" t="s">
        <v>59</v>
      </c>
      <c r="C160" s="29" t="n">
        <v>659.02</v>
      </c>
      <c r="D160" s="29" t="n">
        <v>1350.95</v>
      </c>
      <c r="E160" s="29" t="n">
        <v>382.17</v>
      </c>
      <c r="F160" s="29" t="n">
        <f aca="false">C160+D160/2.5+E160</f>
        <v>1581.57</v>
      </c>
    </row>
    <row r="161" customFormat="false" ht="15" hidden="false" customHeight="false" outlineLevel="0" collapsed="false">
      <c r="A161" s="28" t="n">
        <v>44409</v>
      </c>
      <c r="B161" s="30" t="s">
        <v>62</v>
      </c>
      <c r="C161" s="29" t="n">
        <v>567.78</v>
      </c>
      <c r="D161" s="29" t="n">
        <v>1273.34</v>
      </c>
      <c r="E161" s="29" t="n">
        <v>336.62</v>
      </c>
      <c r="F161" s="29" t="n">
        <f aca="false">C161+D161/2.5+E161</f>
        <v>1413.736</v>
      </c>
    </row>
    <row r="162" customFormat="false" ht="15" hidden="false" customHeight="false" outlineLevel="0" collapsed="false">
      <c r="A162" s="28" t="n">
        <v>44440</v>
      </c>
      <c r="B162" s="30" t="s">
        <v>61</v>
      </c>
      <c r="C162" s="29" t="n">
        <v>497.59</v>
      </c>
      <c r="D162" s="29" t="n">
        <v>1253.8</v>
      </c>
      <c r="E162" s="29" t="n">
        <v>264.08</v>
      </c>
      <c r="F162" s="29" t="n">
        <f aca="false">C162+D162/2.5+E162</f>
        <v>1263.19</v>
      </c>
    </row>
    <row r="163" customFormat="false" ht="15" hidden="false" customHeight="false" outlineLevel="0" collapsed="false">
      <c r="A163" s="28" t="n">
        <v>44440</v>
      </c>
      <c r="B163" s="30" t="s">
        <v>63</v>
      </c>
      <c r="C163" s="29" t="n">
        <v>471.84</v>
      </c>
      <c r="D163" s="29" t="n">
        <v>1214.89</v>
      </c>
      <c r="E163" s="29" t="n">
        <v>260.63</v>
      </c>
      <c r="F163" s="29" t="n">
        <f aca="false">C163+D163/2.5+E163</f>
        <v>1218.426</v>
      </c>
    </row>
    <row r="164" customFormat="false" ht="15" hidden="false" customHeight="false" outlineLevel="0" collapsed="false">
      <c r="A164" s="28" t="n">
        <v>44440</v>
      </c>
      <c r="B164" s="30" t="s">
        <v>60</v>
      </c>
      <c r="C164" s="29" t="n">
        <v>709.67</v>
      </c>
      <c r="D164" s="29" t="n">
        <v>1247.66</v>
      </c>
      <c r="E164" s="29" t="n">
        <v>401.94</v>
      </c>
      <c r="F164" s="29" t="n">
        <f aca="false">C164+D164/2.5+E164</f>
        <v>1610.674</v>
      </c>
    </row>
    <row r="165" customFormat="false" ht="15" hidden="false" customHeight="false" outlineLevel="0" collapsed="false">
      <c r="A165" s="28" t="n">
        <v>44440</v>
      </c>
      <c r="B165" s="30" t="s">
        <v>59</v>
      </c>
      <c r="C165" s="29" t="n">
        <v>656.18</v>
      </c>
      <c r="D165" s="29" t="n">
        <v>1403.63</v>
      </c>
      <c r="E165" s="29" t="n">
        <v>361.37</v>
      </c>
      <c r="F165" s="29" t="n">
        <f aca="false">C165+D165/2.5+E165</f>
        <v>1579.002</v>
      </c>
    </row>
    <row r="166" customFormat="false" ht="15" hidden="false" customHeight="false" outlineLevel="0" collapsed="false">
      <c r="A166" s="28" t="n">
        <v>44440</v>
      </c>
      <c r="B166" s="30" t="s">
        <v>62</v>
      </c>
      <c r="C166" s="29" t="n">
        <v>585.04</v>
      </c>
      <c r="D166" s="29" t="n">
        <v>1280.94</v>
      </c>
      <c r="E166" s="29" t="n">
        <v>325.28</v>
      </c>
      <c r="F166" s="29" t="n">
        <f aca="false">C166+D166/2.5+E166</f>
        <v>1422.696</v>
      </c>
    </row>
    <row r="167" customFormat="false" ht="15" hidden="false" customHeight="false" outlineLevel="0" collapsed="false">
      <c r="A167" s="28" t="n">
        <v>44470</v>
      </c>
      <c r="B167" s="30" t="s">
        <v>61</v>
      </c>
      <c r="C167" s="29" t="n">
        <v>498.13</v>
      </c>
      <c r="D167" s="29" t="n">
        <v>1152.55</v>
      </c>
      <c r="E167" s="29" t="n">
        <v>258.59</v>
      </c>
      <c r="F167" s="29" t="n">
        <f aca="false">C167+D167/2.5+E167</f>
        <v>1217.74</v>
      </c>
    </row>
    <row r="168" customFormat="false" ht="15" hidden="false" customHeight="false" outlineLevel="0" collapsed="false">
      <c r="A168" s="28" t="n">
        <v>44470</v>
      </c>
      <c r="B168" s="30" t="s">
        <v>63</v>
      </c>
      <c r="C168" s="29" t="n">
        <v>477.07</v>
      </c>
      <c r="D168" s="29" t="n">
        <v>1144.76</v>
      </c>
      <c r="E168" s="29" t="n">
        <v>280.91</v>
      </c>
      <c r="F168" s="29" t="n">
        <f aca="false">C168+D168/2.5+E168</f>
        <v>1215.884</v>
      </c>
    </row>
    <row r="169" customFormat="false" ht="15" hidden="false" customHeight="false" outlineLevel="0" collapsed="false">
      <c r="A169" s="28" t="n">
        <v>44470</v>
      </c>
      <c r="B169" s="30" t="s">
        <v>60</v>
      </c>
      <c r="C169" s="29" t="n">
        <v>705.73</v>
      </c>
      <c r="D169" s="29" t="n">
        <v>1195.1</v>
      </c>
      <c r="E169" s="29" t="n">
        <v>376.39</v>
      </c>
      <c r="F169" s="29" t="n">
        <f aca="false">C169+D169/2.5+E169</f>
        <v>1560.16</v>
      </c>
    </row>
    <row r="170" customFormat="false" ht="15" hidden="false" customHeight="false" outlineLevel="0" collapsed="false">
      <c r="A170" s="28" t="n">
        <v>44470</v>
      </c>
      <c r="B170" s="30" t="s">
        <v>59</v>
      </c>
      <c r="C170" s="29" t="n">
        <v>686.12</v>
      </c>
      <c r="D170" s="29" t="n">
        <v>1211.8</v>
      </c>
      <c r="E170" s="29" t="n">
        <v>322.46</v>
      </c>
      <c r="F170" s="29" t="n">
        <f aca="false">C170+D170/2.5+E170</f>
        <v>1493.3</v>
      </c>
    </row>
    <row r="171" customFormat="false" ht="15" hidden="false" customHeight="false" outlineLevel="0" collapsed="false">
      <c r="A171" s="28" t="n">
        <v>44470</v>
      </c>
      <c r="B171" s="30" t="s">
        <v>62</v>
      </c>
      <c r="C171" s="29" t="n">
        <v>574.71</v>
      </c>
      <c r="D171" s="29" t="n">
        <v>1235.59</v>
      </c>
      <c r="E171" s="29" t="n">
        <v>306.63</v>
      </c>
      <c r="F171" s="29" t="n">
        <f aca="false">C171+D171/2.5+E171</f>
        <v>1375.576</v>
      </c>
    </row>
    <row r="172" customFormat="false" ht="15" hidden="false" customHeight="false" outlineLevel="0" collapsed="false">
      <c r="A172" s="28" t="n">
        <v>44501</v>
      </c>
      <c r="B172" s="30" t="s">
        <v>61</v>
      </c>
      <c r="C172" s="29" t="n">
        <v>500.93</v>
      </c>
      <c r="D172" s="29" t="n">
        <v>1082.26</v>
      </c>
      <c r="E172" s="29" t="n">
        <v>262.05</v>
      </c>
      <c r="F172" s="29" t="n">
        <f aca="false">C172+D172/2.5+E172</f>
        <v>1195.884</v>
      </c>
    </row>
    <row r="173" customFormat="false" ht="15" hidden="false" customHeight="false" outlineLevel="0" collapsed="false">
      <c r="A173" s="28" t="n">
        <v>44501</v>
      </c>
      <c r="B173" s="30" t="s">
        <v>63</v>
      </c>
      <c r="C173" s="29" t="n">
        <v>493.08</v>
      </c>
      <c r="D173" s="29" t="n">
        <v>1105.97</v>
      </c>
      <c r="E173" s="29" t="n">
        <v>295.2</v>
      </c>
      <c r="F173" s="29" t="n">
        <f aca="false">C173+D173/2.5+E173</f>
        <v>1230.668</v>
      </c>
    </row>
    <row r="174" customFormat="false" ht="15" hidden="false" customHeight="false" outlineLevel="0" collapsed="false">
      <c r="A174" s="28" t="n">
        <v>44501</v>
      </c>
      <c r="B174" s="30" t="s">
        <v>60</v>
      </c>
      <c r="C174" s="29" t="n">
        <v>732.76</v>
      </c>
      <c r="D174" s="29" t="n">
        <v>1145.88</v>
      </c>
      <c r="E174" s="29" t="n">
        <v>395.13</v>
      </c>
      <c r="F174" s="29" t="n">
        <f aca="false">C174+D174/2.5+E174</f>
        <v>1586.242</v>
      </c>
    </row>
    <row r="175" customFormat="false" ht="15" hidden="false" customHeight="false" outlineLevel="0" collapsed="false">
      <c r="A175" s="28" t="n">
        <v>44501</v>
      </c>
      <c r="B175" s="30" t="s">
        <v>59</v>
      </c>
      <c r="C175" s="29" t="n">
        <v>703.67</v>
      </c>
      <c r="D175" s="29" t="n">
        <v>1150.17</v>
      </c>
      <c r="E175" s="29" t="n">
        <v>331.07</v>
      </c>
      <c r="F175" s="29" t="n">
        <f aca="false">C175+D175/2.5+E175</f>
        <v>1494.808</v>
      </c>
    </row>
    <row r="176" customFormat="false" ht="15" hidden="false" customHeight="false" outlineLevel="0" collapsed="false">
      <c r="A176" s="28" t="n">
        <v>44501</v>
      </c>
      <c r="B176" s="30" t="s">
        <v>62</v>
      </c>
      <c r="C176" s="29" t="n">
        <v>604.8</v>
      </c>
      <c r="D176" s="29" t="n">
        <v>1146.57</v>
      </c>
      <c r="E176" s="29" t="n">
        <v>313.35</v>
      </c>
      <c r="F176" s="29" t="n">
        <f aca="false">C176+D176/2.5+E176</f>
        <v>1376.778</v>
      </c>
    </row>
    <row r="177" customFormat="false" ht="15" hidden="false" customHeight="false" outlineLevel="0" collapsed="false">
      <c r="A177" s="28" t="n">
        <v>44531</v>
      </c>
      <c r="B177" s="30" t="s">
        <v>61</v>
      </c>
      <c r="C177" s="29" t="n">
        <v>503.85</v>
      </c>
      <c r="D177" s="29" t="n">
        <v>1124.02</v>
      </c>
      <c r="E177" s="29" t="n">
        <v>261.56</v>
      </c>
      <c r="F177" s="29" t="n">
        <f aca="false">C177+D177/2.5+E177</f>
        <v>1215.018</v>
      </c>
    </row>
    <row r="178" customFormat="false" ht="15" hidden="false" customHeight="false" outlineLevel="0" collapsed="false">
      <c r="A178" s="28" t="n">
        <v>44531</v>
      </c>
      <c r="B178" s="30" t="s">
        <v>63</v>
      </c>
      <c r="C178" s="29" t="n">
        <v>483.48</v>
      </c>
      <c r="D178" s="29" t="n">
        <v>1140.63</v>
      </c>
      <c r="E178" s="29" t="n">
        <v>304.49</v>
      </c>
      <c r="F178" s="29" t="n">
        <f aca="false">C178+D178/2.5+E178</f>
        <v>1244.222</v>
      </c>
    </row>
    <row r="179" customFormat="false" ht="15" hidden="false" customHeight="false" outlineLevel="0" collapsed="false">
      <c r="A179" s="28" t="n">
        <v>44531</v>
      </c>
      <c r="B179" s="30" t="s">
        <v>60</v>
      </c>
      <c r="C179" s="29" t="n">
        <v>733</v>
      </c>
      <c r="D179" s="29" t="n">
        <v>1078.85</v>
      </c>
      <c r="E179" s="29" t="n">
        <v>390.77</v>
      </c>
      <c r="F179" s="29" t="n">
        <f aca="false">C179+D179/2.5+E179</f>
        <v>1555.31</v>
      </c>
    </row>
    <row r="180" customFormat="false" ht="15" hidden="false" customHeight="false" outlineLevel="0" collapsed="false">
      <c r="A180" s="28" t="n">
        <v>44531</v>
      </c>
      <c r="B180" s="30" t="s">
        <v>59</v>
      </c>
      <c r="C180" s="29" t="n">
        <v>704.43</v>
      </c>
      <c r="D180" s="29" t="n">
        <v>1117.46</v>
      </c>
      <c r="E180" s="29" t="n">
        <v>323.11</v>
      </c>
      <c r="F180" s="29" t="n">
        <f aca="false">C180+D180/2.5+E180</f>
        <v>1474.524</v>
      </c>
    </row>
    <row r="181" customFormat="false" ht="15" hidden="false" customHeight="false" outlineLevel="0" collapsed="false">
      <c r="A181" s="28" t="n">
        <v>44531</v>
      </c>
      <c r="B181" s="30" t="s">
        <v>62</v>
      </c>
      <c r="C181" s="29" t="n">
        <v>625.3</v>
      </c>
      <c r="D181" s="29" t="n">
        <v>1060.29</v>
      </c>
      <c r="E181" s="29" t="n">
        <v>298.06</v>
      </c>
      <c r="F181" s="29" t="n">
        <f aca="false">C181+D181/2.5+E181</f>
        <v>1347.476</v>
      </c>
    </row>
    <row r="182" customFormat="false" ht="15" hidden="false" customHeight="false" outlineLevel="0" collapsed="false">
      <c r="A182" s="28" t="n">
        <v>44562</v>
      </c>
      <c r="B182" s="30" t="s">
        <v>61</v>
      </c>
      <c r="C182" s="29" t="n">
        <v>513.29</v>
      </c>
      <c r="D182" s="29" t="n">
        <v>1170.12</v>
      </c>
      <c r="E182" s="29" t="n">
        <v>275.88</v>
      </c>
      <c r="F182" s="29" t="n">
        <f aca="false">C182+D182/2.5+E182</f>
        <v>1257.218</v>
      </c>
    </row>
    <row r="183" customFormat="false" ht="15" hidden="false" customHeight="false" outlineLevel="0" collapsed="false">
      <c r="A183" s="28" t="n">
        <v>44562</v>
      </c>
      <c r="B183" s="30" t="s">
        <v>63</v>
      </c>
      <c r="C183" s="29" t="n">
        <v>501.02</v>
      </c>
      <c r="D183" s="29" t="n">
        <v>1172.73</v>
      </c>
      <c r="E183" s="29" t="n">
        <v>328.44</v>
      </c>
      <c r="F183" s="29" t="n">
        <f aca="false">C183+D183/2.5+E183</f>
        <v>1298.552</v>
      </c>
    </row>
    <row r="184" customFormat="false" ht="15" hidden="false" customHeight="false" outlineLevel="0" collapsed="false">
      <c r="A184" s="28" t="n">
        <v>44562</v>
      </c>
      <c r="B184" s="30" t="s">
        <v>60</v>
      </c>
      <c r="C184" s="29" t="n">
        <v>722.06</v>
      </c>
      <c r="D184" s="29" t="n">
        <v>1115.51</v>
      </c>
      <c r="E184" s="29" t="n">
        <v>396.12</v>
      </c>
      <c r="F184" s="29" t="n">
        <f aca="false">C184+D184/2.5+E184</f>
        <v>1564.384</v>
      </c>
    </row>
    <row r="185" customFormat="false" ht="15" hidden="false" customHeight="false" outlineLevel="0" collapsed="false">
      <c r="A185" s="28" t="n">
        <v>44562</v>
      </c>
      <c r="B185" s="30" t="s">
        <v>59</v>
      </c>
      <c r="C185" s="29" t="n">
        <v>703.4</v>
      </c>
      <c r="D185" s="29" t="n">
        <v>1143.28</v>
      </c>
      <c r="E185" s="29" t="n">
        <v>319.52</v>
      </c>
      <c r="F185" s="29" t="n">
        <f aca="false">C185+D185/2.5+E185</f>
        <v>1480.232</v>
      </c>
    </row>
    <row r="186" customFormat="false" ht="15" hidden="false" customHeight="false" outlineLevel="0" collapsed="false">
      <c r="A186" s="28" t="n">
        <v>44562</v>
      </c>
      <c r="B186" s="30" t="s">
        <v>62</v>
      </c>
      <c r="C186" s="29" t="n">
        <v>663.26</v>
      </c>
      <c r="D186" s="29" t="n">
        <v>1019.75</v>
      </c>
      <c r="E186" s="29" t="n">
        <v>296.58</v>
      </c>
      <c r="F186" s="29" t="n">
        <f aca="false">C186+D186/2.5+E186</f>
        <v>1367.74</v>
      </c>
    </row>
    <row r="187" customFormat="false" ht="15" hidden="false" customHeight="false" outlineLevel="0" collapsed="false">
      <c r="A187" s="28" t="n">
        <v>44593</v>
      </c>
      <c r="B187" s="30" t="s">
        <v>61</v>
      </c>
      <c r="C187" s="29" t="n">
        <v>529.29</v>
      </c>
      <c r="D187" s="29" t="n">
        <v>1160.87</v>
      </c>
      <c r="E187" s="29" t="n">
        <v>285.45</v>
      </c>
      <c r="F187" s="29" t="n">
        <f aca="false">C187+D187/2.5+E187</f>
        <v>1279.088</v>
      </c>
    </row>
    <row r="188" customFormat="false" ht="15" hidden="false" customHeight="false" outlineLevel="0" collapsed="false">
      <c r="A188" s="28" t="n">
        <v>44593</v>
      </c>
      <c r="B188" s="30" t="s">
        <v>63</v>
      </c>
      <c r="C188" s="29" t="n">
        <v>524.97</v>
      </c>
      <c r="D188" s="29" t="n">
        <v>1173.27</v>
      </c>
      <c r="E188" s="29" t="n">
        <v>340.06</v>
      </c>
      <c r="F188" s="29" t="n">
        <f aca="false">C188+D188/2.5+E188</f>
        <v>1334.338</v>
      </c>
    </row>
    <row r="189" customFormat="false" ht="15" hidden="false" customHeight="false" outlineLevel="0" collapsed="false">
      <c r="A189" s="28" t="n">
        <v>44593</v>
      </c>
      <c r="B189" s="30" t="s">
        <v>60</v>
      </c>
      <c r="C189" s="29" t="n">
        <v>725.28</v>
      </c>
      <c r="D189" s="29" t="n">
        <v>1156.26</v>
      </c>
      <c r="E189" s="29" t="n">
        <v>401.22</v>
      </c>
      <c r="F189" s="29" t="n">
        <f aca="false">C189+D189/2.5+E189</f>
        <v>1589.004</v>
      </c>
    </row>
    <row r="190" customFormat="false" ht="15" hidden="false" customHeight="false" outlineLevel="0" collapsed="false">
      <c r="A190" s="28" t="n">
        <v>44593</v>
      </c>
      <c r="B190" s="30" t="s">
        <v>59</v>
      </c>
      <c r="C190" s="29" t="n">
        <v>702.19</v>
      </c>
      <c r="D190" s="29" t="n">
        <v>1159.1</v>
      </c>
      <c r="E190" s="29" t="n">
        <v>318.46</v>
      </c>
      <c r="F190" s="29" t="n">
        <f aca="false">C190+D190/2.5+E190</f>
        <v>1484.29</v>
      </c>
    </row>
    <row r="191" customFormat="false" ht="15" hidden="false" customHeight="false" outlineLevel="0" collapsed="false">
      <c r="A191" s="28" t="n">
        <v>44593</v>
      </c>
      <c r="B191" s="30" t="s">
        <v>62</v>
      </c>
      <c r="C191" s="29" t="n">
        <v>686.49</v>
      </c>
      <c r="D191" s="29" t="n">
        <v>1014.45</v>
      </c>
      <c r="E191" s="29" t="n">
        <v>299.64</v>
      </c>
      <c r="F191" s="29" t="n">
        <f aca="false">C191+D191/2.5+E191</f>
        <v>1391.91</v>
      </c>
    </row>
    <row r="192" customFormat="false" ht="15" hidden="false" customHeight="false" outlineLevel="0" collapsed="false">
      <c r="A192" s="28" t="n">
        <v>44621</v>
      </c>
      <c r="B192" s="30" t="s">
        <v>61</v>
      </c>
      <c r="C192" s="29" t="n">
        <v>542.63</v>
      </c>
      <c r="D192" s="29" t="n">
        <v>1262.75</v>
      </c>
      <c r="E192" s="29" t="n">
        <v>295.46</v>
      </c>
      <c r="F192" s="29" t="n">
        <f aca="false">C192+D192/2.5+E192</f>
        <v>1343.19</v>
      </c>
    </row>
    <row r="193" customFormat="false" ht="15" hidden="false" customHeight="false" outlineLevel="0" collapsed="false">
      <c r="A193" s="28" t="n">
        <v>44621</v>
      </c>
      <c r="B193" s="30" t="s">
        <v>63</v>
      </c>
      <c r="C193" s="29" t="n">
        <v>569.44</v>
      </c>
      <c r="D193" s="29" t="n">
        <v>1115.92</v>
      </c>
      <c r="E193" s="29" t="n">
        <v>336.8</v>
      </c>
      <c r="F193" s="29" t="n">
        <f aca="false">C193+D193/2.5+E193</f>
        <v>1352.608</v>
      </c>
    </row>
    <row r="194" customFormat="false" ht="15" hidden="false" customHeight="false" outlineLevel="0" collapsed="false">
      <c r="A194" s="28" t="n">
        <v>44621</v>
      </c>
      <c r="B194" s="30" t="s">
        <v>60</v>
      </c>
      <c r="C194" s="29" t="n">
        <v>733.03</v>
      </c>
      <c r="D194" s="29" t="n">
        <v>1177.05</v>
      </c>
      <c r="E194" s="29" t="n">
        <v>406.73</v>
      </c>
      <c r="F194" s="29" t="n">
        <f aca="false">C194+D194/2.5+E194</f>
        <v>1610.58</v>
      </c>
    </row>
    <row r="195" customFormat="false" ht="15" hidden="false" customHeight="false" outlineLevel="0" collapsed="false">
      <c r="A195" s="28" t="n">
        <v>44621</v>
      </c>
      <c r="B195" s="30" t="s">
        <v>59</v>
      </c>
      <c r="C195" s="29" t="n">
        <v>706.88</v>
      </c>
      <c r="D195" s="29" t="n">
        <v>1199.47</v>
      </c>
      <c r="E195" s="29" t="n">
        <v>323.41</v>
      </c>
      <c r="F195" s="29" t="n">
        <f aca="false">C195+D195/2.5+E195</f>
        <v>1510.078</v>
      </c>
    </row>
    <row r="196" customFormat="false" ht="15" hidden="false" customHeight="false" outlineLevel="0" collapsed="false">
      <c r="A196" s="28" t="n">
        <v>44621</v>
      </c>
      <c r="B196" s="30" t="s">
        <v>62</v>
      </c>
      <c r="C196" s="29" t="n">
        <v>682.4</v>
      </c>
      <c r="D196" s="29" t="n">
        <v>1059.02</v>
      </c>
      <c r="E196" s="29" t="n">
        <v>302.91</v>
      </c>
      <c r="F196" s="29" t="n">
        <f aca="false">C196+D196/2.5+E196</f>
        <v>1408.918</v>
      </c>
    </row>
    <row r="197" customFormat="false" ht="15" hidden="false" customHeight="false" outlineLevel="0" collapsed="false">
      <c r="A197" s="28" t="n">
        <v>44652</v>
      </c>
      <c r="B197" s="30" t="s">
        <v>61</v>
      </c>
      <c r="C197" s="29" t="n">
        <v>552.3</v>
      </c>
      <c r="D197" s="29" t="n">
        <v>1264.4</v>
      </c>
      <c r="E197" s="29" t="n">
        <v>302.16</v>
      </c>
      <c r="F197" s="29" t="n">
        <f aca="false">C197+D197/2.5+E197</f>
        <v>1360.22</v>
      </c>
    </row>
    <row r="198" customFormat="false" ht="15" hidden="false" customHeight="false" outlineLevel="0" collapsed="false">
      <c r="A198" s="28" t="n">
        <v>44652</v>
      </c>
      <c r="B198" s="30" t="s">
        <v>63</v>
      </c>
      <c r="C198" s="29" t="n">
        <v>580.71</v>
      </c>
      <c r="D198" s="29" t="n">
        <v>1078.55</v>
      </c>
      <c r="E198" s="29" t="n">
        <v>325.48</v>
      </c>
      <c r="F198" s="29" t="n">
        <f aca="false">C198+D198/2.5+E198</f>
        <v>1337.61</v>
      </c>
    </row>
    <row r="199" customFormat="false" ht="15" hidden="false" customHeight="false" outlineLevel="0" collapsed="false">
      <c r="A199" s="28" t="n">
        <v>44652</v>
      </c>
      <c r="B199" s="30" t="s">
        <v>60</v>
      </c>
      <c r="C199" s="29" t="n">
        <v>736.89</v>
      </c>
      <c r="D199" s="29" t="n">
        <v>1162.21</v>
      </c>
      <c r="E199" s="29" t="n">
        <v>409.01</v>
      </c>
      <c r="F199" s="29" t="n">
        <f aca="false">C199+D199/2.5+E199</f>
        <v>1610.784</v>
      </c>
    </row>
    <row r="200" customFormat="false" ht="15" hidden="false" customHeight="false" outlineLevel="0" collapsed="false">
      <c r="A200" s="28" t="n">
        <v>44652</v>
      </c>
      <c r="B200" s="30" t="s">
        <v>59</v>
      </c>
      <c r="C200" s="29" t="n">
        <v>701.56</v>
      </c>
      <c r="D200" s="29" t="n">
        <v>1188.62</v>
      </c>
      <c r="E200" s="29" t="n">
        <v>329.15</v>
      </c>
      <c r="F200" s="29" t="n">
        <f aca="false">C200+D200/2.5+E200</f>
        <v>1506.158</v>
      </c>
    </row>
    <row r="201" customFormat="false" ht="15" hidden="false" customHeight="false" outlineLevel="0" collapsed="false">
      <c r="A201" s="28" t="n">
        <v>44652</v>
      </c>
      <c r="B201" s="30" t="s">
        <v>62</v>
      </c>
      <c r="C201" s="29" t="n">
        <v>686.39</v>
      </c>
      <c r="D201" s="29" t="n">
        <v>1047.89</v>
      </c>
      <c r="E201" s="29" t="n">
        <v>306.98</v>
      </c>
      <c r="F201" s="29" t="n">
        <f aca="false">C201+D201/2.5+E201</f>
        <v>1412.526</v>
      </c>
    </row>
    <row r="202" customFormat="false" ht="15" hidden="false" customHeight="false" outlineLevel="0" collapsed="false">
      <c r="A202" s="28" t="n">
        <v>44682</v>
      </c>
      <c r="B202" s="30" t="s">
        <v>61</v>
      </c>
      <c r="C202" s="29" t="n">
        <v>555.88</v>
      </c>
      <c r="D202" s="29" t="n">
        <v>1264.21</v>
      </c>
      <c r="E202" s="29" t="n">
        <v>307.7</v>
      </c>
      <c r="F202" s="29" t="n">
        <f aca="false">C202+D202/2.5+E202</f>
        <v>1369.264</v>
      </c>
    </row>
    <row r="203" customFormat="false" ht="15" hidden="false" customHeight="false" outlineLevel="0" collapsed="false">
      <c r="A203" s="28" t="n">
        <v>44682</v>
      </c>
      <c r="B203" s="30" t="s">
        <v>63</v>
      </c>
      <c r="C203" s="29" t="n">
        <v>598.24</v>
      </c>
      <c r="D203" s="29" t="n">
        <v>1062.25</v>
      </c>
      <c r="E203" s="29" t="n">
        <v>333.02</v>
      </c>
      <c r="F203" s="29" t="n">
        <f aca="false">C203+D203/2.5+E203</f>
        <v>1356.16</v>
      </c>
    </row>
    <row r="204" customFormat="false" ht="15" hidden="false" customHeight="false" outlineLevel="0" collapsed="false">
      <c r="A204" s="28" t="n">
        <v>44682</v>
      </c>
      <c r="B204" s="30" t="s">
        <v>60</v>
      </c>
      <c r="C204" s="29" t="n">
        <v>743.43</v>
      </c>
      <c r="D204" s="29" t="n">
        <v>1162.22</v>
      </c>
      <c r="E204" s="29" t="n">
        <v>421.43</v>
      </c>
      <c r="F204" s="29" t="n">
        <f aca="false">C204+D204/2.5+E204</f>
        <v>1629.748</v>
      </c>
    </row>
    <row r="205" customFormat="false" ht="15" hidden="false" customHeight="false" outlineLevel="0" collapsed="false">
      <c r="A205" s="28" t="n">
        <v>44682</v>
      </c>
      <c r="B205" s="30" t="s">
        <v>59</v>
      </c>
      <c r="C205" s="29" t="n">
        <v>708.35</v>
      </c>
      <c r="D205" s="29" t="n">
        <v>1148.99</v>
      </c>
      <c r="E205" s="29" t="n">
        <v>330</v>
      </c>
      <c r="F205" s="29" t="n">
        <f aca="false">C205+D205/2.5+E205</f>
        <v>1497.946</v>
      </c>
    </row>
    <row r="206" customFormat="false" ht="15" hidden="false" customHeight="false" outlineLevel="0" collapsed="false">
      <c r="A206" s="28" t="n">
        <v>44682</v>
      </c>
      <c r="B206" s="30" t="s">
        <v>62</v>
      </c>
      <c r="C206" s="29" t="n">
        <v>691.58</v>
      </c>
      <c r="D206" s="29" t="n">
        <v>1044.8</v>
      </c>
      <c r="E206" s="29" t="n">
        <v>311.22</v>
      </c>
      <c r="F206" s="29" t="n">
        <f aca="false">C206+D206/2.5+E206</f>
        <v>1420.72</v>
      </c>
    </row>
    <row r="207" customFormat="false" ht="15" hidden="false" customHeight="false" outlineLevel="0" collapsed="false">
      <c r="A207" s="28" t="n">
        <v>44713</v>
      </c>
      <c r="B207" s="30" t="s">
        <v>61</v>
      </c>
      <c r="C207" s="29" t="n">
        <v>563.64</v>
      </c>
      <c r="D207" s="29" t="n">
        <v>1253.54</v>
      </c>
      <c r="E207" s="29" t="n">
        <v>317.2</v>
      </c>
      <c r="F207" s="29" t="n">
        <f aca="false">C207+D207/2.5+E207</f>
        <v>1382.256</v>
      </c>
    </row>
    <row r="208" customFormat="false" ht="15" hidden="false" customHeight="false" outlineLevel="0" collapsed="false">
      <c r="A208" s="28" t="n">
        <v>44713</v>
      </c>
      <c r="B208" s="30" t="s">
        <v>63</v>
      </c>
      <c r="C208" s="29" t="n">
        <v>624.01</v>
      </c>
      <c r="D208" s="29" t="n">
        <v>990.99</v>
      </c>
      <c r="E208" s="29" t="n">
        <v>332.39</v>
      </c>
      <c r="F208" s="29" t="n">
        <f aca="false">C208+D208/2.5+E208</f>
        <v>1352.796</v>
      </c>
    </row>
    <row r="209" customFormat="false" ht="15" hidden="false" customHeight="false" outlineLevel="0" collapsed="false">
      <c r="A209" s="28" t="n">
        <v>44713</v>
      </c>
      <c r="B209" s="30" t="s">
        <v>60</v>
      </c>
      <c r="C209" s="29" t="n">
        <v>745.13</v>
      </c>
      <c r="D209" s="29" t="n">
        <v>1125.08</v>
      </c>
      <c r="E209" s="29" t="n">
        <v>421.94</v>
      </c>
      <c r="F209" s="29" t="n">
        <f aca="false">C209+D209/2.5+E209</f>
        <v>1617.102</v>
      </c>
    </row>
    <row r="210" customFormat="false" ht="15" hidden="false" customHeight="false" outlineLevel="0" collapsed="false">
      <c r="A210" s="28" t="n">
        <v>44713</v>
      </c>
      <c r="B210" s="30" t="s">
        <v>59</v>
      </c>
      <c r="C210" s="29" t="n">
        <v>721.06</v>
      </c>
      <c r="D210" s="29" t="n">
        <v>1233.25</v>
      </c>
      <c r="E210" s="29" t="n">
        <v>336.14</v>
      </c>
      <c r="F210" s="29" t="n">
        <f aca="false">C210+D210/2.5+E210</f>
        <v>1550.5</v>
      </c>
    </row>
    <row r="211" customFormat="false" ht="15" hidden="false" customHeight="false" outlineLevel="0" collapsed="false">
      <c r="A211" s="28" t="n">
        <v>44713</v>
      </c>
      <c r="B211" s="30" t="s">
        <v>62</v>
      </c>
      <c r="C211" s="29" t="n">
        <v>699.53</v>
      </c>
      <c r="D211" s="29" t="n">
        <v>1102.27</v>
      </c>
      <c r="E211" s="29" t="n">
        <v>317.65</v>
      </c>
      <c r="F211" s="29" t="n">
        <f aca="false">C211+D211/2.5+E211</f>
        <v>1458.088</v>
      </c>
    </row>
    <row r="212" customFormat="false" ht="15" hidden="false" customHeight="false" outlineLevel="0" collapsed="false">
      <c r="A212" s="28" t="n">
        <v>44743</v>
      </c>
      <c r="B212" s="30" t="s">
        <v>61</v>
      </c>
      <c r="C212" s="29" t="n">
        <v>580.32</v>
      </c>
      <c r="D212" s="29" t="n">
        <v>1201.57</v>
      </c>
      <c r="E212" s="29" t="n">
        <v>311.95</v>
      </c>
      <c r="F212" s="29" t="n">
        <f aca="false">C212+D212/2.5+E212</f>
        <v>1372.898</v>
      </c>
    </row>
    <row r="213" customFormat="false" ht="15" hidden="false" customHeight="false" outlineLevel="0" collapsed="false">
      <c r="A213" s="28" t="n">
        <v>44743</v>
      </c>
      <c r="B213" s="30" t="s">
        <v>63</v>
      </c>
      <c r="C213" s="29" t="n">
        <v>638.61</v>
      </c>
      <c r="D213" s="29" t="n">
        <v>1061.21</v>
      </c>
      <c r="E213" s="29" t="n">
        <v>345.65</v>
      </c>
      <c r="F213" s="29" t="n">
        <f aca="false">C213+D213/2.5+E213</f>
        <v>1408.744</v>
      </c>
    </row>
    <row r="214" customFormat="false" ht="15" hidden="false" customHeight="false" outlineLevel="0" collapsed="false">
      <c r="A214" s="28" t="n">
        <v>44743</v>
      </c>
      <c r="B214" s="30" t="s">
        <v>60</v>
      </c>
      <c r="C214" s="29" t="n">
        <v>752.08</v>
      </c>
      <c r="D214" s="29" t="n">
        <v>1118.83</v>
      </c>
      <c r="E214" s="29" t="n">
        <v>390.27</v>
      </c>
      <c r="F214" s="29" t="n">
        <f aca="false">C214+D214/2.5+E214</f>
        <v>1589.882</v>
      </c>
    </row>
    <row r="215" customFormat="false" ht="15" hidden="false" customHeight="false" outlineLevel="0" collapsed="false">
      <c r="A215" s="28" t="n">
        <v>44743</v>
      </c>
      <c r="B215" s="30" t="s">
        <v>59</v>
      </c>
      <c r="C215" s="29" t="n">
        <v>728</v>
      </c>
      <c r="D215" s="29" t="n">
        <v>1133.36</v>
      </c>
      <c r="E215" s="29" t="n">
        <v>333.26</v>
      </c>
      <c r="F215" s="29" t="n">
        <f aca="false">C215+D215/2.5+E215</f>
        <v>1514.604</v>
      </c>
    </row>
    <row r="216" customFormat="false" ht="15" hidden="false" customHeight="false" outlineLevel="0" collapsed="false">
      <c r="A216" s="28" t="n">
        <v>44743</v>
      </c>
      <c r="B216" s="30" t="s">
        <v>62</v>
      </c>
      <c r="C216" s="29" t="n">
        <v>718.62</v>
      </c>
      <c r="D216" s="29" t="n">
        <v>1017.45</v>
      </c>
      <c r="E216" s="29" t="n">
        <v>296.5</v>
      </c>
      <c r="F216" s="29" t="n">
        <f aca="false">C216+D216/2.5+E216</f>
        <v>1422.1</v>
      </c>
    </row>
    <row r="217" customFormat="false" ht="15" hidden="false" customHeight="false" outlineLevel="0" collapsed="false">
      <c r="A217" s="28" t="n">
        <v>44774</v>
      </c>
      <c r="B217" s="30" t="s">
        <v>61</v>
      </c>
      <c r="C217" s="29" t="n">
        <v>584.58</v>
      </c>
      <c r="D217" s="29" t="n">
        <v>1124.97</v>
      </c>
      <c r="E217" s="29" t="n">
        <v>290.35</v>
      </c>
      <c r="F217" s="29" t="n">
        <f aca="false">C217+D217/2.5+E217</f>
        <v>1324.918</v>
      </c>
    </row>
    <row r="218" customFormat="false" ht="15" hidden="false" customHeight="false" outlineLevel="0" collapsed="false">
      <c r="A218" s="28" t="n">
        <v>44774</v>
      </c>
      <c r="B218" s="30" t="s">
        <v>63</v>
      </c>
      <c r="C218" s="29" t="n">
        <v>643.51</v>
      </c>
      <c r="D218" s="29" t="n">
        <v>994.36</v>
      </c>
      <c r="E218" s="29" t="n">
        <v>342.53</v>
      </c>
      <c r="F218" s="29" t="n">
        <f aca="false">C218+D218/2.5+E218</f>
        <v>1383.784</v>
      </c>
    </row>
    <row r="219" customFormat="false" ht="15" hidden="false" customHeight="false" outlineLevel="0" collapsed="false">
      <c r="A219" s="28" t="n">
        <v>44774</v>
      </c>
      <c r="B219" s="30" t="s">
        <v>60</v>
      </c>
      <c r="C219" s="29" t="n">
        <v>758.22</v>
      </c>
      <c r="D219" s="29" t="n">
        <v>1026.38</v>
      </c>
      <c r="E219" s="29" t="n">
        <v>341.4</v>
      </c>
      <c r="F219" s="29" t="n">
        <f aca="false">C219+D219/2.5+E219</f>
        <v>1510.172</v>
      </c>
    </row>
    <row r="220" customFormat="false" ht="15" hidden="false" customHeight="false" outlineLevel="0" collapsed="false">
      <c r="A220" s="28" t="n">
        <v>44774</v>
      </c>
      <c r="B220" s="30" t="s">
        <v>59</v>
      </c>
      <c r="C220" s="29" t="n">
        <v>728.14</v>
      </c>
      <c r="D220" s="29" t="n">
        <v>1072.52</v>
      </c>
      <c r="E220" s="29" t="n">
        <v>319.16</v>
      </c>
      <c r="F220" s="29" t="n">
        <f aca="false">C220+D220/2.5+E220</f>
        <v>1476.308</v>
      </c>
    </row>
    <row r="221" customFormat="false" ht="15" hidden="false" customHeight="false" outlineLevel="0" collapsed="false">
      <c r="A221" s="28" t="n">
        <v>44774</v>
      </c>
      <c r="B221" s="30" t="s">
        <v>62</v>
      </c>
      <c r="C221" s="29" t="n">
        <v>724.53</v>
      </c>
      <c r="D221" s="29" t="n">
        <v>940.74</v>
      </c>
      <c r="E221" s="29" t="n">
        <v>271.1</v>
      </c>
      <c r="F221" s="29" t="n">
        <f aca="false">C221+D221/2.5+E221</f>
        <v>1371.926</v>
      </c>
    </row>
    <row r="222" customFormat="false" ht="15" hidden="false" customHeight="false" outlineLevel="0" collapsed="false">
      <c r="A222" s="28" t="n">
        <v>44805</v>
      </c>
      <c r="B222" s="30" t="s">
        <v>61</v>
      </c>
      <c r="C222" s="29" t="n">
        <v>611.94</v>
      </c>
      <c r="D222" s="29" t="n">
        <v>1110.52</v>
      </c>
      <c r="E222" s="29" t="n">
        <v>307.12</v>
      </c>
      <c r="F222" s="29" t="n">
        <f aca="false">C222+D222/2.5+E222</f>
        <v>1363.268</v>
      </c>
    </row>
    <row r="223" customFormat="false" ht="15" hidden="false" customHeight="false" outlineLevel="0" collapsed="false">
      <c r="A223" s="28" t="n">
        <v>44805</v>
      </c>
      <c r="B223" s="30" t="s">
        <v>63</v>
      </c>
      <c r="C223" s="29" t="n">
        <v>643.97</v>
      </c>
      <c r="D223" s="29" t="n">
        <v>1002.38</v>
      </c>
      <c r="E223" s="29" t="n">
        <v>327.83</v>
      </c>
      <c r="F223" s="29" t="n">
        <f aca="false">C223+D223/2.5+E223</f>
        <v>1372.752</v>
      </c>
    </row>
    <row r="224" customFormat="false" ht="15" hidden="false" customHeight="false" outlineLevel="0" collapsed="false">
      <c r="A224" s="28" t="n">
        <v>44805</v>
      </c>
      <c r="B224" s="30" t="s">
        <v>60</v>
      </c>
      <c r="C224" s="29" t="n">
        <v>766.22</v>
      </c>
      <c r="D224" s="29" t="n">
        <v>1052.65</v>
      </c>
      <c r="E224" s="29" t="n">
        <v>341.16</v>
      </c>
      <c r="F224" s="29" t="n">
        <f aca="false">C224+D224/2.5+E224</f>
        <v>1528.44</v>
      </c>
    </row>
    <row r="225" customFormat="false" ht="15" hidden="false" customHeight="false" outlineLevel="0" collapsed="false">
      <c r="A225" s="28" t="n">
        <v>44805</v>
      </c>
      <c r="B225" s="30" t="s">
        <v>59</v>
      </c>
      <c r="C225" s="29" t="n">
        <v>730.45</v>
      </c>
      <c r="D225" s="29" t="n">
        <v>1112.3</v>
      </c>
      <c r="E225" s="29" t="n">
        <v>320.18</v>
      </c>
      <c r="F225" s="29" t="n">
        <f aca="false">C225+D225/2.5+E225</f>
        <v>1495.55</v>
      </c>
    </row>
    <row r="226" customFormat="false" ht="15" hidden="false" customHeight="false" outlineLevel="0" collapsed="false">
      <c r="A226" s="28" t="n">
        <v>44805</v>
      </c>
      <c r="B226" s="30" t="s">
        <v>62</v>
      </c>
      <c r="C226" s="29" t="n">
        <v>729.06</v>
      </c>
      <c r="D226" s="29" t="n">
        <v>965.29</v>
      </c>
      <c r="E226" s="29" t="n">
        <v>282.43</v>
      </c>
      <c r="F226" s="29" t="n">
        <f aca="false">C226+D226/2.5+E226</f>
        <v>1397.606</v>
      </c>
    </row>
    <row r="227" customFormat="false" ht="15" hidden="false" customHeight="false" outlineLevel="0" collapsed="false">
      <c r="A227" s="28" t="n">
        <v>44835</v>
      </c>
      <c r="B227" s="30" t="s">
        <v>61</v>
      </c>
      <c r="C227" s="29" t="n">
        <v>618.54</v>
      </c>
      <c r="D227" s="29" t="n">
        <v>1124.68</v>
      </c>
      <c r="E227" s="29" t="n">
        <v>305.18</v>
      </c>
      <c r="F227" s="29" t="n">
        <f aca="false">C227+D227/2.5+E227</f>
        <v>1373.592</v>
      </c>
    </row>
    <row r="228" customFormat="false" ht="15" hidden="false" customHeight="false" outlineLevel="0" collapsed="false">
      <c r="A228" s="28" t="n">
        <v>44835</v>
      </c>
      <c r="B228" s="30" t="s">
        <v>63</v>
      </c>
      <c r="C228" s="29" t="n">
        <v>679.26</v>
      </c>
      <c r="D228" s="29" t="n">
        <v>993.23</v>
      </c>
      <c r="E228" s="29" t="n">
        <v>328.13</v>
      </c>
      <c r="F228" s="29" t="n">
        <f aca="false">C228+D228/2.5+E228</f>
        <v>1404.682</v>
      </c>
    </row>
    <row r="229" customFormat="false" ht="15" hidden="false" customHeight="false" outlineLevel="0" collapsed="false">
      <c r="A229" s="28" t="n">
        <v>44835</v>
      </c>
      <c r="B229" s="30" t="s">
        <v>60</v>
      </c>
      <c r="C229" s="29" t="n">
        <v>778.16</v>
      </c>
      <c r="D229" s="29" t="n">
        <v>1090.69</v>
      </c>
      <c r="E229" s="29" t="n">
        <v>365.06</v>
      </c>
      <c r="F229" s="29" t="n">
        <f aca="false">C229+D229/2.5+E229</f>
        <v>1579.496</v>
      </c>
    </row>
    <row r="230" customFormat="false" ht="15" hidden="false" customHeight="false" outlineLevel="0" collapsed="false">
      <c r="A230" s="28" t="n">
        <v>44835</v>
      </c>
      <c r="B230" s="30" t="s">
        <v>59</v>
      </c>
      <c r="C230" s="29" t="n">
        <v>746.49</v>
      </c>
      <c r="D230" s="29" t="n">
        <v>1131.64</v>
      </c>
      <c r="E230" s="29" t="n">
        <v>327.92</v>
      </c>
      <c r="F230" s="29" t="n">
        <f aca="false">C230+D230/2.5+E230</f>
        <v>1527.066</v>
      </c>
    </row>
    <row r="231" customFormat="false" ht="15" hidden="false" customHeight="false" outlineLevel="0" collapsed="false">
      <c r="A231" s="28" t="n">
        <v>44835</v>
      </c>
      <c r="B231" s="30" t="s">
        <v>62</v>
      </c>
      <c r="C231" s="29" t="n">
        <v>742.87</v>
      </c>
      <c r="D231" s="29" t="n">
        <v>987.81</v>
      </c>
      <c r="E231" s="29" t="n">
        <v>295.58</v>
      </c>
      <c r="F231" s="29" t="n">
        <f aca="false">C231+D231/2.5+E231</f>
        <v>1433.574</v>
      </c>
    </row>
    <row r="232" customFormat="false" ht="15" hidden="false" customHeight="false" outlineLevel="0" collapsed="false">
      <c r="A232" s="28" t="n">
        <v>44866</v>
      </c>
      <c r="B232" s="30" t="s">
        <v>61</v>
      </c>
      <c r="C232" s="29" t="n">
        <v>634.17</v>
      </c>
      <c r="D232" s="29" t="n">
        <v>1119.59</v>
      </c>
      <c r="E232" s="29" t="n">
        <v>317.31</v>
      </c>
      <c r="F232" s="29" t="n">
        <f aca="false">C232+D232/2.5+E232</f>
        <v>1399.316</v>
      </c>
    </row>
    <row r="233" customFormat="false" ht="15" hidden="false" customHeight="false" outlineLevel="0" collapsed="false">
      <c r="A233" s="28" t="n">
        <v>44866</v>
      </c>
      <c r="B233" s="30" t="s">
        <v>63</v>
      </c>
      <c r="C233" s="29" t="n">
        <v>690.67</v>
      </c>
      <c r="D233" s="29" t="n">
        <v>970.34</v>
      </c>
      <c r="E233" s="29" t="n">
        <v>328.13</v>
      </c>
      <c r="F233" s="29" t="n">
        <f aca="false">C233+D233/2.5+E233</f>
        <v>1406.936</v>
      </c>
    </row>
    <row r="234" customFormat="false" ht="15" hidden="false" customHeight="false" outlineLevel="0" collapsed="false">
      <c r="A234" s="28" t="n">
        <v>44866</v>
      </c>
      <c r="B234" s="30" t="s">
        <v>60</v>
      </c>
      <c r="C234" s="29" t="n">
        <v>802.25</v>
      </c>
      <c r="D234" s="29" t="n">
        <v>1076.28</v>
      </c>
      <c r="E234" s="29" t="n">
        <v>378.42</v>
      </c>
      <c r="F234" s="29" t="n">
        <f aca="false">C234+D234/2.5+E234</f>
        <v>1611.182</v>
      </c>
    </row>
    <row r="235" customFormat="false" ht="15" hidden="false" customHeight="false" outlineLevel="0" collapsed="false">
      <c r="A235" s="28" t="n">
        <v>44866</v>
      </c>
      <c r="B235" s="30" t="s">
        <v>59</v>
      </c>
      <c r="C235" s="29" t="n">
        <v>751.9</v>
      </c>
      <c r="D235" s="29" t="n">
        <v>1143.29</v>
      </c>
      <c r="E235" s="29" t="n">
        <v>333.26</v>
      </c>
      <c r="F235" s="29" t="n">
        <f aca="false">C235+D235/2.5+E235</f>
        <v>1542.476</v>
      </c>
    </row>
    <row r="236" customFormat="false" ht="15" hidden="false" customHeight="false" outlineLevel="0" collapsed="false">
      <c r="A236" s="28" t="n">
        <v>44866</v>
      </c>
      <c r="B236" s="30" t="s">
        <v>62</v>
      </c>
      <c r="C236" s="29" t="n">
        <v>760.1</v>
      </c>
      <c r="D236" s="29" t="n">
        <v>964.5</v>
      </c>
      <c r="E236" s="29" t="n">
        <v>305.43</v>
      </c>
      <c r="F236" s="29" t="n">
        <f aca="false">C236+D236/2.5+E236</f>
        <v>1451.33</v>
      </c>
    </row>
    <row r="237" customFormat="false" ht="15" hidden="false" customHeight="false" outlineLevel="0" collapsed="false">
      <c r="A237" s="28" t="n">
        <v>44896</v>
      </c>
      <c r="B237" s="30" t="s">
        <v>61</v>
      </c>
      <c r="C237" s="29" t="n">
        <v>652.46</v>
      </c>
      <c r="D237" s="29" t="n">
        <v>1096.06</v>
      </c>
      <c r="E237" s="29" t="n">
        <v>325.21</v>
      </c>
      <c r="F237" s="29" t="n">
        <f aca="false">C237+D237/2.5+E237</f>
        <v>1416.094</v>
      </c>
    </row>
    <row r="238" customFormat="false" ht="15" hidden="false" customHeight="false" outlineLevel="0" collapsed="false">
      <c r="A238" s="28" t="n">
        <v>44896</v>
      </c>
      <c r="B238" s="30" t="s">
        <v>63</v>
      </c>
      <c r="C238" s="29" t="n">
        <v>711.73</v>
      </c>
      <c r="D238" s="29" t="n">
        <v>984.08</v>
      </c>
      <c r="E238" s="29" t="n">
        <v>331.48</v>
      </c>
      <c r="F238" s="29" t="n">
        <f aca="false">C238+D238/2.5+E238</f>
        <v>1436.842</v>
      </c>
    </row>
    <row r="239" customFormat="false" ht="15" hidden="false" customHeight="false" outlineLevel="0" collapsed="false">
      <c r="A239" s="28" t="n">
        <v>44896</v>
      </c>
      <c r="B239" s="30" t="s">
        <v>60</v>
      </c>
      <c r="C239" s="29" t="n">
        <v>853.84</v>
      </c>
      <c r="D239" s="29" t="n">
        <v>1021.87</v>
      </c>
      <c r="E239" s="29" t="n">
        <v>396.45</v>
      </c>
      <c r="F239" s="29" t="n">
        <f aca="false">C239+D239/2.5+E239</f>
        <v>1659.038</v>
      </c>
    </row>
    <row r="240" customFormat="false" ht="15" hidden="false" customHeight="false" outlineLevel="0" collapsed="false">
      <c r="A240" s="28" t="n">
        <v>44896</v>
      </c>
      <c r="B240" s="30" t="s">
        <v>59</v>
      </c>
      <c r="C240" s="29" t="n">
        <v>775.36</v>
      </c>
      <c r="D240" s="29" t="n">
        <v>1124.21</v>
      </c>
      <c r="E240" s="29" t="n">
        <v>340.39</v>
      </c>
      <c r="F240" s="29" t="n">
        <f aca="false">C240+D240/2.5+E240</f>
        <v>1565.434</v>
      </c>
    </row>
    <row r="241" customFormat="false" ht="15" hidden="false" customHeight="false" outlineLevel="0" collapsed="false">
      <c r="A241" s="28" t="n">
        <v>44896</v>
      </c>
      <c r="B241" s="30" t="s">
        <v>62</v>
      </c>
      <c r="C241" s="29" t="n">
        <v>765.72</v>
      </c>
      <c r="D241" s="29" t="n">
        <v>943.99</v>
      </c>
      <c r="E241" s="29" t="n">
        <v>307.77</v>
      </c>
      <c r="F241" s="29" t="n">
        <f aca="false">C241+D241/2.5+E241</f>
        <v>1451.086</v>
      </c>
    </row>
    <row r="242" customFormat="false" ht="15" hidden="false" customHeight="false" outlineLevel="0" collapsed="false">
      <c r="A242" s="28" t="n">
        <v>44927</v>
      </c>
      <c r="B242" s="30" t="s">
        <v>61</v>
      </c>
      <c r="C242" s="29" t="n">
        <v>671.05</v>
      </c>
      <c r="D242" s="29" t="n">
        <v>1080.69</v>
      </c>
      <c r="E242" s="29" t="n">
        <v>323.91</v>
      </c>
      <c r="F242" s="29" t="n">
        <f aca="false">C242+D242/2.5+E242</f>
        <v>1427.236</v>
      </c>
    </row>
    <row r="243" customFormat="false" ht="15" hidden="false" customHeight="false" outlineLevel="0" collapsed="false">
      <c r="A243" s="28" t="n">
        <v>44927</v>
      </c>
      <c r="B243" s="30" t="s">
        <v>63</v>
      </c>
      <c r="C243" s="29" t="n">
        <v>705.75</v>
      </c>
      <c r="D243" s="29" t="n">
        <v>1007.99</v>
      </c>
      <c r="E243" s="29" t="n">
        <v>331.53</v>
      </c>
      <c r="F243" s="29" t="n">
        <f aca="false">C243+D243/2.5+E243</f>
        <v>1440.476</v>
      </c>
    </row>
    <row r="244" customFormat="false" ht="15" hidden="false" customHeight="false" outlineLevel="0" collapsed="false">
      <c r="A244" s="28" t="n">
        <v>44927</v>
      </c>
      <c r="B244" s="30" t="s">
        <v>60</v>
      </c>
      <c r="C244" s="29" t="n">
        <v>883.49</v>
      </c>
      <c r="D244" s="29" t="n">
        <v>1024.73</v>
      </c>
      <c r="E244" s="29" t="n">
        <v>406.61</v>
      </c>
      <c r="F244" s="29" t="n">
        <f aca="false">C244+D244/2.5+E244</f>
        <v>1699.992</v>
      </c>
    </row>
    <row r="245" customFormat="false" ht="15" hidden="false" customHeight="false" outlineLevel="0" collapsed="false">
      <c r="A245" s="28" t="n">
        <v>44927</v>
      </c>
      <c r="B245" s="30" t="s">
        <v>59</v>
      </c>
      <c r="C245" s="29" t="n">
        <v>814.69</v>
      </c>
      <c r="D245" s="29" t="n">
        <v>1128.39</v>
      </c>
      <c r="E245" s="29" t="n">
        <v>344.73</v>
      </c>
      <c r="F245" s="29" t="n">
        <f aca="false">C245+D245/2.5+E245</f>
        <v>1610.776</v>
      </c>
    </row>
    <row r="246" customFormat="false" ht="15" hidden="false" customHeight="false" outlineLevel="0" collapsed="false">
      <c r="A246" s="28" t="n">
        <v>44927</v>
      </c>
      <c r="B246" s="30" t="s">
        <v>62</v>
      </c>
      <c r="C246" s="29" t="n">
        <v>795.67</v>
      </c>
      <c r="D246" s="29" t="n">
        <v>956.59</v>
      </c>
      <c r="E246" s="29" t="n">
        <v>312.78</v>
      </c>
      <c r="F246" s="29" t="n">
        <f aca="false">C246+D246/2.5+E246</f>
        <v>1491.086</v>
      </c>
    </row>
    <row r="247" customFormat="false" ht="15" hidden="false" customHeight="false" outlineLevel="0" collapsed="false">
      <c r="A247" s="28" t="n">
        <v>44958</v>
      </c>
      <c r="B247" s="30" t="s">
        <v>61</v>
      </c>
      <c r="C247" s="29" t="n">
        <v>671.48</v>
      </c>
      <c r="D247" s="29" t="n">
        <v>1041.27</v>
      </c>
      <c r="E247" s="29" t="n">
        <v>328.1</v>
      </c>
      <c r="F247" s="29" t="n">
        <f aca="false">C247+D247/2.5+E247</f>
        <v>1416.088</v>
      </c>
    </row>
    <row r="248" customFormat="false" ht="15" hidden="false" customHeight="false" outlineLevel="0" collapsed="false">
      <c r="A248" s="28" t="n">
        <v>44958</v>
      </c>
      <c r="B248" s="30" t="s">
        <v>63</v>
      </c>
      <c r="C248" s="29" t="n">
        <v>697.52</v>
      </c>
      <c r="D248" s="29" t="n">
        <v>1005.22</v>
      </c>
      <c r="E248" s="29" t="n">
        <v>343.62</v>
      </c>
      <c r="F248" s="29" t="n">
        <f aca="false">C248+D248/2.5+E248</f>
        <v>1443.228</v>
      </c>
    </row>
    <row r="249" customFormat="false" ht="15" hidden="false" customHeight="false" outlineLevel="0" collapsed="false">
      <c r="A249" s="28" t="n">
        <v>44958</v>
      </c>
      <c r="B249" s="30" t="s">
        <v>60</v>
      </c>
      <c r="C249" s="29" t="n">
        <v>884.98</v>
      </c>
      <c r="D249" s="29" t="n">
        <v>980.21</v>
      </c>
      <c r="E249" s="29" t="n">
        <v>410.57</v>
      </c>
      <c r="F249" s="29" t="n">
        <f aca="false">C249+D249/2.5+E249</f>
        <v>1687.634</v>
      </c>
    </row>
    <row r="250" customFormat="false" ht="15" hidden="false" customHeight="false" outlineLevel="0" collapsed="false">
      <c r="A250" s="28" t="n">
        <v>44958</v>
      </c>
      <c r="B250" s="30" t="s">
        <v>59</v>
      </c>
      <c r="C250" s="29" t="n">
        <v>816.58</v>
      </c>
      <c r="D250" s="29" t="n">
        <v>1056.56</v>
      </c>
      <c r="E250" s="29" t="n">
        <v>350.84</v>
      </c>
      <c r="F250" s="29" t="n">
        <f aca="false">C250+D250/2.5+E250</f>
        <v>1590.044</v>
      </c>
    </row>
    <row r="251" customFormat="false" ht="15" hidden="false" customHeight="false" outlineLevel="0" collapsed="false">
      <c r="A251" s="28" t="n">
        <v>44958</v>
      </c>
      <c r="B251" s="30" t="s">
        <v>62</v>
      </c>
      <c r="C251" s="29" t="n">
        <v>804.88</v>
      </c>
      <c r="D251" s="29" t="n">
        <v>917.37</v>
      </c>
      <c r="E251" s="29" t="n">
        <v>331.59</v>
      </c>
      <c r="F251" s="29" t="n">
        <f aca="false">C251+D251/2.5+E251</f>
        <v>1503.418</v>
      </c>
    </row>
    <row r="252" customFormat="false" ht="15" hidden="false" customHeight="false" outlineLevel="0" collapsed="false">
      <c r="A252" s="28" t="n">
        <v>44986</v>
      </c>
      <c r="B252" s="30" t="s">
        <v>61</v>
      </c>
      <c r="C252" s="29" t="n">
        <v>707.5</v>
      </c>
      <c r="D252" s="29" t="n">
        <v>1091.35</v>
      </c>
      <c r="E252" s="29" t="n">
        <v>320.98</v>
      </c>
      <c r="F252" s="29" t="n">
        <f aca="false">C252+D252/2.5+E252</f>
        <v>1465.02</v>
      </c>
    </row>
    <row r="253" customFormat="false" ht="15" hidden="false" customHeight="false" outlineLevel="0" collapsed="false">
      <c r="A253" s="28" t="n">
        <v>44986</v>
      </c>
      <c r="B253" s="30" t="s">
        <v>63</v>
      </c>
      <c r="C253" s="29" t="n">
        <v>725.83</v>
      </c>
      <c r="D253" s="29" t="n">
        <v>1019.37</v>
      </c>
      <c r="E253" s="29" t="n">
        <v>342</v>
      </c>
      <c r="F253" s="29" t="n">
        <f aca="false">C253+D253/2.5+E253</f>
        <v>1475.578</v>
      </c>
    </row>
    <row r="254" customFormat="false" ht="15" hidden="false" customHeight="false" outlineLevel="0" collapsed="false">
      <c r="A254" s="28" t="n">
        <v>44986</v>
      </c>
      <c r="B254" s="30" t="s">
        <v>60</v>
      </c>
      <c r="C254" s="29" t="n">
        <v>895.48</v>
      </c>
      <c r="D254" s="29" t="n">
        <v>1008.24</v>
      </c>
      <c r="E254" s="29" t="n">
        <v>421.14</v>
      </c>
      <c r="F254" s="29" t="n">
        <f aca="false">C254+D254/2.5+E254</f>
        <v>1719.916</v>
      </c>
    </row>
    <row r="255" customFormat="false" ht="15" hidden="false" customHeight="false" outlineLevel="0" collapsed="false">
      <c r="A255" s="28" t="n">
        <v>44986</v>
      </c>
      <c r="B255" s="30" t="s">
        <v>59</v>
      </c>
      <c r="C255" s="29" t="n">
        <v>839.5</v>
      </c>
      <c r="D255" s="29" t="n">
        <v>1148.91</v>
      </c>
      <c r="E255" s="29" t="n">
        <v>373.54</v>
      </c>
      <c r="F255" s="29" t="n">
        <f aca="false">C255+D255/2.5+E255</f>
        <v>1672.604</v>
      </c>
    </row>
    <row r="256" customFormat="false" ht="15" hidden="false" customHeight="false" outlineLevel="0" collapsed="false">
      <c r="A256" s="28" t="n">
        <v>44986</v>
      </c>
      <c r="B256" s="30" t="s">
        <v>62</v>
      </c>
      <c r="C256" s="29" t="n">
        <v>812.17</v>
      </c>
      <c r="D256" s="29" t="n">
        <v>1069.08</v>
      </c>
      <c r="E256" s="29" t="n">
        <v>349.04</v>
      </c>
      <c r="F256" s="29" t="n">
        <f aca="false">C256+D256/2.5+E256</f>
        <v>1588.842</v>
      </c>
    </row>
    <row r="257" customFormat="false" ht="15" hidden="false" customHeight="false" outlineLevel="0" collapsed="false">
      <c r="A257" s="28" t="n">
        <v>45017</v>
      </c>
      <c r="B257" s="30" t="s">
        <v>61</v>
      </c>
      <c r="C257" s="29" t="n">
        <v>708.24</v>
      </c>
      <c r="D257" s="29" t="n">
        <v>1256.81</v>
      </c>
      <c r="E257" s="29" t="n">
        <v>326.19</v>
      </c>
      <c r="F257" s="29" t="n">
        <f aca="false">C257+D257/2.5+E257</f>
        <v>1537.154</v>
      </c>
    </row>
    <row r="258" customFormat="false" ht="15" hidden="false" customHeight="false" outlineLevel="0" collapsed="false">
      <c r="A258" s="28" t="n">
        <v>45017</v>
      </c>
      <c r="B258" s="30" t="s">
        <v>63</v>
      </c>
      <c r="C258" s="29" t="n">
        <v>719.2</v>
      </c>
      <c r="D258" s="29" t="n">
        <v>1124.93</v>
      </c>
      <c r="E258" s="29" t="n">
        <v>344.43</v>
      </c>
      <c r="F258" s="29" t="n">
        <f aca="false">C258+D258/2.5+E258</f>
        <v>1513.602</v>
      </c>
    </row>
    <row r="259" customFormat="false" ht="15" hidden="false" customHeight="false" outlineLevel="0" collapsed="false">
      <c r="A259" s="28" t="n">
        <v>45017</v>
      </c>
      <c r="B259" s="30" t="s">
        <v>60</v>
      </c>
      <c r="C259" s="29" t="n">
        <v>928.27</v>
      </c>
      <c r="D259" s="29" t="n">
        <v>1063.21</v>
      </c>
      <c r="E259" s="29" t="n">
        <v>439.27</v>
      </c>
      <c r="F259" s="29" t="n">
        <f aca="false">C259+D259/2.5+E259</f>
        <v>1792.824</v>
      </c>
    </row>
    <row r="260" customFormat="false" ht="15" hidden="false" customHeight="false" outlineLevel="0" collapsed="false">
      <c r="A260" s="28" t="n">
        <v>45017</v>
      </c>
      <c r="B260" s="30" t="s">
        <v>59</v>
      </c>
      <c r="C260" s="29" t="n">
        <v>884.53</v>
      </c>
      <c r="D260" s="29" t="n">
        <v>1232.92</v>
      </c>
      <c r="E260" s="29" t="n">
        <v>389.94</v>
      </c>
      <c r="F260" s="29" t="n">
        <f aca="false">C260+D260/2.5+E260</f>
        <v>1767.638</v>
      </c>
    </row>
    <row r="261" customFormat="false" ht="15" hidden="false" customHeight="false" outlineLevel="0" collapsed="false">
      <c r="A261" s="28" t="n">
        <v>45017</v>
      </c>
      <c r="B261" s="30" t="s">
        <v>62</v>
      </c>
      <c r="C261" s="29" t="n">
        <v>825.35</v>
      </c>
      <c r="D261" s="29" t="n">
        <v>1102.35</v>
      </c>
      <c r="E261" s="29" t="n">
        <v>349.19</v>
      </c>
      <c r="F261" s="29" t="n">
        <f aca="false">C261+D261/2.5+E261</f>
        <v>1615.48</v>
      </c>
    </row>
    <row r="262" customFormat="false" ht="15" hidden="false" customHeight="false" outlineLevel="0" collapsed="false">
      <c r="A262" s="28" t="n">
        <v>45047</v>
      </c>
      <c r="B262" s="30" t="s">
        <v>61</v>
      </c>
      <c r="C262" s="29" t="n">
        <v>691.93</v>
      </c>
      <c r="D262" s="29" t="n">
        <v>1445.04</v>
      </c>
      <c r="E262" s="29" t="n">
        <v>325.25</v>
      </c>
      <c r="F262" s="29" t="n">
        <f aca="false">C262+D262/2.5+E262</f>
        <v>1595.196</v>
      </c>
    </row>
    <row r="263" customFormat="false" ht="15" hidden="false" customHeight="false" outlineLevel="0" collapsed="false">
      <c r="A263" s="28" t="n">
        <v>45047</v>
      </c>
      <c r="B263" s="30" t="s">
        <v>63</v>
      </c>
      <c r="C263" s="29" t="n">
        <v>727.13</v>
      </c>
      <c r="D263" s="29" t="n">
        <v>1274.93</v>
      </c>
      <c r="E263" s="29" t="n">
        <v>353.86</v>
      </c>
      <c r="F263" s="29" t="n">
        <f aca="false">C263+D263/2.5+E263</f>
        <v>1590.962</v>
      </c>
    </row>
    <row r="264" customFormat="false" ht="15" hidden="false" customHeight="false" outlineLevel="0" collapsed="false">
      <c r="A264" s="28" t="n">
        <v>45047</v>
      </c>
      <c r="B264" s="30" t="s">
        <v>60</v>
      </c>
      <c r="C264" s="29" t="n">
        <v>957.35</v>
      </c>
      <c r="D264" s="29" t="n">
        <v>1164.58</v>
      </c>
      <c r="E264" s="29" t="n">
        <v>448.87</v>
      </c>
      <c r="F264" s="29" t="n">
        <f aca="false">C264+D264/2.5+E264</f>
        <v>1872.052</v>
      </c>
    </row>
    <row r="265" customFormat="false" ht="15" hidden="false" customHeight="false" outlineLevel="0" collapsed="false">
      <c r="A265" s="28" t="n">
        <v>45047</v>
      </c>
      <c r="B265" s="30" t="s">
        <v>59</v>
      </c>
      <c r="C265" s="29" t="n">
        <v>924.79</v>
      </c>
      <c r="D265" s="29" t="n">
        <v>1294.93</v>
      </c>
      <c r="E265" s="29" t="n">
        <v>407.95</v>
      </c>
      <c r="F265" s="29" t="n">
        <f aca="false">C265+D265/2.5+E265</f>
        <v>1850.712</v>
      </c>
    </row>
    <row r="266" customFormat="false" ht="15" hidden="false" customHeight="false" outlineLevel="0" collapsed="false">
      <c r="A266" s="28" t="n">
        <v>45047</v>
      </c>
      <c r="B266" s="30" t="s">
        <v>62</v>
      </c>
      <c r="C266" s="29" t="n">
        <v>830.5</v>
      </c>
      <c r="D266" s="29" t="n">
        <v>1273.79</v>
      </c>
      <c r="E266" s="29" t="n">
        <v>366.99</v>
      </c>
      <c r="F266" s="29" t="n">
        <f aca="false">C266+D266/2.5+E266</f>
        <v>1707.006</v>
      </c>
    </row>
    <row r="267" customFormat="false" ht="15" hidden="false" customHeight="false" outlineLevel="0" collapsed="false">
      <c r="A267" s="28" t="n">
        <v>45078</v>
      </c>
      <c r="B267" s="30" t="s">
        <v>61</v>
      </c>
      <c r="C267" s="29" t="n">
        <v>769.48</v>
      </c>
      <c r="D267" s="29" t="n">
        <v>1477.07</v>
      </c>
      <c r="E267" s="29" t="n">
        <v>351.1</v>
      </c>
      <c r="F267" s="29" t="n">
        <f aca="false">C267+D267/2.5+E267</f>
        <v>1711.408</v>
      </c>
    </row>
    <row r="268" customFormat="false" ht="15" hidden="false" customHeight="false" outlineLevel="0" collapsed="false">
      <c r="A268" s="28" t="n">
        <v>45078</v>
      </c>
      <c r="B268" s="30" t="s">
        <v>63</v>
      </c>
      <c r="C268" s="29" t="n">
        <v>749.38</v>
      </c>
      <c r="D268" s="29" t="n">
        <v>1395.89</v>
      </c>
      <c r="E268" s="29" t="n">
        <v>378.26</v>
      </c>
      <c r="F268" s="29" t="n">
        <f aca="false">C268+D268/2.5+E268</f>
        <v>1685.996</v>
      </c>
    </row>
    <row r="269" customFormat="false" ht="15" hidden="false" customHeight="false" outlineLevel="0" collapsed="false">
      <c r="A269" s="28" t="n">
        <v>45078</v>
      </c>
      <c r="B269" s="30" t="s">
        <v>60</v>
      </c>
      <c r="C269" s="29" t="n">
        <v>980.24</v>
      </c>
      <c r="D269" s="29" t="n">
        <v>1248.94</v>
      </c>
      <c r="E269" s="29" t="n">
        <v>475.93</v>
      </c>
      <c r="F269" s="29" t="n">
        <f aca="false">C269+D269/2.5+E269</f>
        <v>1955.746</v>
      </c>
    </row>
    <row r="270" customFormat="false" ht="15" hidden="false" customHeight="false" outlineLevel="0" collapsed="false">
      <c r="A270" s="28" t="n">
        <v>45078</v>
      </c>
      <c r="B270" s="30" t="s">
        <v>59</v>
      </c>
      <c r="C270" s="29" t="n">
        <v>997.49</v>
      </c>
      <c r="D270" s="29" t="n">
        <v>1340.28</v>
      </c>
      <c r="E270" s="29" t="n">
        <v>447.11</v>
      </c>
      <c r="F270" s="29" t="n">
        <f aca="false">C270+D270/2.5+E270</f>
        <v>1980.712</v>
      </c>
    </row>
    <row r="271" customFormat="false" ht="15" hidden="false" customHeight="false" outlineLevel="0" collapsed="false">
      <c r="A271" s="28" t="n">
        <v>45078</v>
      </c>
      <c r="B271" s="30" t="s">
        <v>62</v>
      </c>
      <c r="C271" s="29" t="n">
        <v>848.32</v>
      </c>
      <c r="D271" s="29" t="n">
        <v>1389.05</v>
      </c>
      <c r="E271" s="29" t="n">
        <v>405.19</v>
      </c>
      <c r="F271" s="29" t="n">
        <f aca="false">C271+D271/2.5+E271</f>
        <v>1809.13</v>
      </c>
    </row>
    <row r="272" customFormat="false" ht="15" hidden="false" customHeight="false" outlineLevel="0" collapsed="false">
      <c r="A272" s="28" t="n">
        <v>45108</v>
      </c>
      <c r="B272" s="30" t="s">
        <v>61</v>
      </c>
      <c r="C272" s="29" t="n">
        <v>774.19</v>
      </c>
      <c r="D272" s="29" t="n">
        <v>1694.66</v>
      </c>
      <c r="E272" s="29" t="n">
        <v>368.67</v>
      </c>
      <c r="F272" s="29" t="n">
        <f aca="false">C272+D272/2.5+E272</f>
        <v>1820.724</v>
      </c>
    </row>
    <row r="273" customFormat="false" ht="15" hidden="false" customHeight="false" outlineLevel="0" collapsed="false">
      <c r="A273" s="28" t="n">
        <v>45108</v>
      </c>
      <c r="B273" s="30" t="s">
        <v>63</v>
      </c>
      <c r="C273" s="29" t="n">
        <v>819.51</v>
      </c>
      <c r="D273" s="29" t="n">
        <v>1546.27</v>
      </c>
      <c r="E273" s="29" t="n">
        <v>407.63</v>
      </c>
      <c r="F273" s="29" t="n">
        <f aca="false">C273+D273/2.5+E273</f>
        <v>1845.648</v>
      </c>
    </row>
    <row r="274" customFormat="false" ht="15" hidden="false" customHeight="false" outlineLevel="0" collapsed="false">
      <c r="A274" s="28" t="n">
        <v>45108</v>
      </c>
      <c r="B274" s="30" t="s">
        <v>60</v>
      </c>
      <c r="C274" s="29" t="n">
        <v>1082.02</v>
      </c>
      <c r="D274" s="29" t="n">
        <v>1471.18</v>
      </c>
      <c r="E274" s="29" t="n">
        <v>529.78</v>
      </c>
      <c r="F274" s="29" t="n">
        <f aca="false">C274+D274/2.5+E274</f>
        <v>2200.272</v>
      </c>
    </row>
    <row r="275" customFormat="false" ht="15" hidden="false" customHeight="false" outlineLevel="0" collapsed="false">
      <c r="A275" s="28" t="n">
        <v>45108</v>
      </c>
      <c r="B275" s="30" t="s">
        <v>59</v>
      </c>
      <c r="C275" s="29" t="n">
        <v>967.78</v>
      </c>
      <c r="D275" s="29" t="n">
        <v>1764.85</v>
      </c>
      <c r="E275" s="29" t="n">
        <v>455.2</v>
      </c>
      <c r="F275" s="29" t="n">
        <f aca="false">C275+D275/2.5+E275</f>
        <v>2128.92</v>
      </c>
    </row>
    <row r="276" customFormat="false" ht="15" hidden="false" customHeight="false" outlineLevel="0" collapsed="false">
      <c r="A276" s="28" t="n">
        <v>45108</v>
      </c>
      <c r="B276" s="30" t="s">
        <v>62</v>
      </c>
      <c r="C276" s="29" t="n">
        <v>858.01</v>
      </c>
      <c r="D276" s="29" t="n">
        <v>1708.51</v>
      </c>
      <c r="E276" s="29" t="n">
        <v>434.73</v>
      </c>
      <c r="F276" s="29" t="n">
        <f aca="false">C276+D276/2.5+E276</f>
        <v>1976.144</v>
      </c>
    </row>
    <row r="277" customFormat="false" ht="15" hidden="false" customHeight="false" outlineLevel="0" collapsed="false">
      <c r="A277" s="28" t="n">
        <v>45139</v>
      </c>
      <c r="B277" s="30" t="s">
        <v>61</v>
      </c>
      <c r="C277" s="29" t="n">
        <v>813.88</v>
      </c>
      <c r="D277" s="29" t="n">
        <v>2138.13</v>
      </c>
      <c r="E277" s="29" t="n">
        <v>389.77</v>
      </c>
      <c r="F277" s="29" t="n">
        <f aca="false">C277+D277/2.5+E277</f>
        <v>2058.902</v>
      </c>
    </row>
    <row r="278" customFormat="false" ht="15" hidden="false" customHeight="false" outlineLevel="0" collapsed="false">
      <c r="A278" s="28" t="n">
        <v>45139</v>
      </c>
      <c r="B278" s="30" t="s">
        <v>63</v>
      </c>
      <c r="C278" s="29" t="n">
        <v>904.91</v>
      </c>
      <c r="D278" s="29" t="n">
        <v>1739.94</v>
      </c>
      <c r="E278" s="29" t="n">
        <v>428.34</v>
      </c>
      <c r="F278" s="29" t="n">
        <f aca="false">C278+D278/2.5+E278</f>
        <v>2029.226</v>
      </c>
    </row>
    <row r="279" customFormat="false" ht="15" hidden="false" customHeight="false" outlineLevel="0" collapsed="false">
      <c r="A279" s="28" t="n">
        <v>45139</v>
      </c>
      <c r="B279" s="30" t="s">
        <v>60</v>
      </c>
      <c r="C279" s="29" t="n">
        <v>1251.25</v>
      </c>
      <c r="D279" s="29" t="n">
        <v>1677.96</v>
      </c>
      <c r="E279" s="29" t="n">
        <v>543.35</v>
      </c>
      <c r="F279" s="29" t="n">
        <f aca="false">C279+D279/2.5+E279</f>
        <v>2465.784</v>
      </c>
    </row>
    <row r="280" customFormat="false" ht="15" hidden="false" customHeight="false" outlineLevel="0" collapsed="false">
      <c r="A280" s="28" t="n">
        <v>45139</v>
      </c>
      <c r="B280" s="30" t="s">
        <v>59</v>
      </c>
      <c r="C280" s="29" t="n">
        <v>1052.71</v>
      </c>
      <c r="D280" s="29" t="n">
        <v>2129.15</v>
      </c>
      <c r="E280" s="29" t="n">
        <v>506.6</v>
      </c>
      <c r="F280" s="29" t="n">
        <f aca="false">C280+D280/2.5+E280</f>
        <v>2410.97</v>
      </c>
    </row>
    <row r="281" customFormat="false" ht="15" hidden="false" customHeight="false" outlineLevel="0" collapsed="false">
      <c r="A281" s="28" t="n">
        <v>45139</v>
      </c>
      <c r="B281" s="30" t="s">
        <v>62</v>
      </c>
      <c r="C281" s="29" t="n">
        <v>885.86</v>
      </c>
      <c r="D281" s="29" t="n">
        <v>2165.22</v>
      </c>
      <c r="E281" s="29" t="n">
        <v>461.06</v>
      </c>
      <c r="F281" s="29" t="n">
        <f aca="false">C281+D281/2.5+E281</f>
        <v>2213.008</v>
      </c>
    </row>
    <row r="282" customFormat="false" ht="15" hidden="false" customHeight="false" outlineLevel="0" collapsed="false">
      <c r="A282" s="28" t="n">
        <v>45170</v>
      </c>
      <c r="B282" s="30" t="s">
        <v>61</v>
      </c>
      <c r="C282" s="29" t="n">
        <v>845.72</v>
      </c>
      <c r="D282" s="29" t="n">
        <v>2240.75</v>
      </c>
      <c r="E282" s="29" t="n">
        <v>400.2</v>
      </c>
      <c r="F282" s="29" t="n">
        <f aca="false">C282+D282/2.5+E282</f>
        <v>2142.22</v>
      </c>
    </row>
    <row r="283" customFormat="false" ht="15" hidden="false" customHeight="false" outlineLevel="0" collapsed="false">
      <c r="A283" s="28" t="n">
        <v>45170</v>
      </c>
      <c r="B283" s="30" t="s">
        <v>63</v>
      </c>
      <c r="C283" s="29" t="n">
        <v>926.72</v>
      </c>
      <c r="D283" s="29" t="n">
        <v>1686.11</v>
      </c>
      <c r="E283" s="29" t="n">
        <v>445.18</v>
      </c>
      <c r="F283" s="29" t="n">
        <f aca="false">C283+D283/2.5+E283</f>
        <v>2046.344</v>
      </c>
    </row>
    <row r="284" customFormat="false" ht="15" hidden="false" customHeight="false" outlineLevel="0" collapsed="false">
      <c r="A284" s="28" t="n">
        <v>45170</v>
      </c>
      <c r="B284" s="30" t="s">
        <v>60</v>
      </c>
      <c r="C284" s="29" t="n">
        <v>1261.66</v>
      </c>
      <c r="D284" s="29" t="n">
        <v>1824.87</v>
      </c>
      <c r="E284" s="29" t="n">
        <v>555.76</v>
      </c>
      <c r="F284" s="29" t="n">
        <f aca="false">C284+D284/2.5+E284</f>
        <v>2547.368</v>
      </c>
    </row>
    <row r="285" customFormat="false" ht="15" hidden="false" customHeight="false" outlineLevel="0" collapsed="false">
      <c r="A285" s="28" t="n">
        <v>45170</v>
      </c>
      <c r="B285" s="30" t="s">
        <v>59</v>
      </c>
      <c r="C285" s="29" t="n">
        <v>1089.42</v>
      </c>
      <c r="D285" s="29" t="n">
        <v>2241.64</v>
      </c>
      <c r="E285" s="29" t="n">
        <v>516.5</v>
      </c>
      <c r="F285" s="29" t="n">
        <f aca="false">C285+D285/2.5+E285</f>
        <v>2502.576</v>
      </c>
    </row>
    <row r="286" customFormat="false" ht="15" hidden="false" customHeight="false" outlineLevel="0" collapsed="false">
      <c r="A286" s="28" t="n">
        <v>45170</v>
      </c>
      <c r="B286" s="30" t="s">
        <v>62</v>
      </c>
      <c r="C286" s="29" t="n">
        <v>937.36</v>
      </c>
      <c r="D286" s="29" t="n">
        <v>2238.31</v>
      </c>
      <c r="E286" s="29" t="n">
        <v>489.75</v>
      </c>
      <c r="F286" s="29" t="n">
        <f aca="false">C286+D286/2.5+E286</f>
        <v>2322.434</v>
      </c>
    </row>
    <row r="287" customFormat="false" ht="15" hidden="false" customHeight="false" outlineLevel="0" collapsed="false">
      <c r="A287" s="28" t="n">
        <v>45200</v>
      </c>
      <c r="B287" s="30" t="s">
        <v>61</v>
      </c>
      <c r="C287" s="29" t="n">
        <v>973.94</v>
      </c>
      <c r="D287" s="29" t="n">
        <v>1918.27</v>
      </c>
      <c r="E287" s="29" t="n">
        <v>423.79</v>
      </c>
      <c r="F287" s="29" t="n">
        <f aca="false">C287+D287/2.5+E287</f>
        <v>2165.038</v>
      </c>
    </row>
    <row r="288" customFormat="false" ht="15" hidden="false" customHeight="false" outlineLevel="0" collapsed="false">
      <c r="A288" s="28" t="n">
        <v>45200</v>
      </c>
      <c r="B288" s="30" t="s">
        <v>63</v>
      </c>
      <c r="C288" s="29" t="n">
        <v>981.06</v>
      </c>
      <c r="D288" s="29" t="n">
        <v>1514.28</v>
      </c>
      <c r="E288" s="29" t="n">
        <v>463.46</v>
      </c>
      <c r="F288" s="29" t="n">
        <f aca="false">C288+D288/2.5+E288</f>
        <v>2050.232</v>
      </c>
    </row>
    <row r="289" customFormat="false" ht="15" hidden="false" customHeight="false" outlineLevel="0" collapsed="false">
      <c r="A289" s="28" t="n">
        <v>45200</v>
      </c>
      <c r="B289" s="30" t="s">
        <v>60</v>
      </c>
      <c r="C289" s="29" t="n">
        <v>1278.51</v>
      </c>
      <c r="D289" s="29" t="n">
        <v>1737.34</v>
      </c>
      <c r="E289" s="29" t="n">
        <v>567.78</v>
      </c>
      <c r="F289" s="29" t="n">
        <f aca="false">C289+D289/2.5+E289</f>
        <v>2541.226</v>
      </c>
    </row>
    <row r="290" customFormat="false" ht="15" hidden="false" customHeight="false" outlineLevel="0" collapsed="false">
      <c r="A290" s="28" t="n">
        <v>45200</v>
      </c>
      <c r="B290" s="30" t="s">
        <v>59</v>
      </c>
      <c r="C290" s="29" t="n">
        <v>1175.49</v>
      </c>
      <c r="D290" s="29" t="n">
        <v>2030.64</v>
      </c>
      <c r="E290" s="29" t="n">
        <v>599.03</v>
      </c>
      <c r="F290" s="29" t="n">
        <f aca="false">C290+D290/2.5+E290</f>
        <v>2586.776</v>
      </c>
    </row>
    <row r="291" customFormat="false" ht="15" hidden="false" customHeight="false" outlineLevel="0" collapsed="false">
      <c r="A291" s="28" t="n">
        <v>45200</v>
      </c>
      <c r="B291" s="30" t="s">
        <v>62</v>
      </c>
      <c r="C291" s="29" t="n">
        <v>1003.44</v>
      </c>
      <c r="D291" s="29" t="n">
        <v>1915.1</v>
      </c>
      <c r="E291" s="29" t="n">
        <v>545.85</v>
      </c>
      <c r="F291" s="29" t="n">
        <f aca="false">C291+D291/2.5+E291</f>
        <v>2315.33</v>
      </c>
    </row>
    <row r="292" customFormat="false" ht="15" hidden="false" customHeight="false" outlineLevel="0" collapsed="false">
      <c r="A292" s="28" t="n">
        <v>45231</v>
      </c>
      <c r="B292" s="30" t="s">
        <v>61</v>
      </c>
      <c r="C292" s="29" t="n">
        <v>1128.3</v>
      </c>
      <c r="D292" s="29" t="n">
        <v>1774.45</v>
      </c>
      <c r="E292" s="29" t="n">
        <v>440.05</v>
      </c>
      <c r="F292" s="29" t="n">
        <f aca="false">C292+D292/2.5+E292</f>
        <v>2278.13</v>
      </c>
    </row>
    <row r="293" customFormat="false" ht="15" hidden="false" customHeight="false" outlineLevel="0" collapsed="false">
      <c r="A293" s="28" t="n">
        <v>45231</v>
      </c>
      <c r="B293" s="30" t="s">
        <v>63</v>
      </c>
      <c r="C293" s="29" t="n">
        <v>1089.72</v>
      </c>
      <c r="D293" s="29" t="n">
        <v>1484.31</v>
      </c>
      <c r="E293" s="29" t="n">
        <v>489.17</v>
      </c>
      <c r="F293" s="29" t="n">
        <f aca="false">C293+D293/2.5+E293</f>
        <v>2172.614</v>
      </c>
    </row>
    <row r="294" customFormat="false" ht="15" hidden="false" customHeight="false" outlineLevel="0" collapsed="false">
      <c r="A294" s="28" t="n">
        <v>45231</v>
      </c>
      <c r="B294" s="30" t="s">
        <v>60</v>
      </c>
      <c r="C294" s="29" t="n">
        <v>1333.66</v>
      </c>
      <c r="D294" s="29" t="n">
        <v>1783.21</v>
      </c>
      <c r="E294" s="29" t="n">
        <v>581.21</v>
      </c>
      <c r="F294" s="29" t="n">
        <f aca="false">C294+D294/2.5+E294</f>
        <v>2628.154</v>
      </c>
    </row>
    <row r="295" customFormat="false" ht="15" hidden="false" customHeight="false" outlineLevel="0" collapsed="false">
      <c r="A295" s="28" t="n">
        <v>45231</v>
      </c>
      <c r="B295" s="30" t="s">
        <v>59</v>
      </c>
      <c r="C295" s="29" t="n">
        <v>1124.1</v>
      </c>
      <c r="D295" s="29" t="n">
        <v>2208.51</v>
      </c>
      <c r="E295" s="29" t="n">
        <v>682.59</v>
      </c>
      <c r="F295" s="29" t="n">
        <f aca="false">C295+D295/2.5+E295</f>
        <v>2690.094</v>
      </c>
    </row>
    <row r="296" customFormat="false" ht="15" hidden="false" customHeight="false" outlineLevel="0" collapsed="false">
      <c r="A296" s="28" t="n">
        <v>45231</v>
      </c>
      <c r="B296" s="30" t="s">
        <v>62</v>
      </c>
      <c r="C296" s="29" t="n">
        <v>1220.36</v>
      </c>
      <c r="D296" s="29" t="n">
        <v>1585.72</v>
      </c>
      <c r="E296" s="29" t="n">
        <v>545.16</v>
      </c>
      <c r="F296" s="29" t="n">
        <f aca="false">C296+D296/2.5+E296</f>
        <v>2399.808</v>
      </c>
    </row>
    <row r="297" customFormat="false" ht="15" hidden="false" customHeight="false" outlineLevel="0" collapsed="false">
      <c r="A297" s="28" t="n">
        <v>45261</v>
      </c>
      <c r="B297" s="30" t="s">
        <v>61</v>
      </c>
      <c r="C297" s="29" t="n">
        <v>1170.49</v>
      </c>
      <c r="D297" s="29" t="n">
        <v>1686.47</v>
      </c>
      <c r="E297" s="29" t="n">
        <v>458.81</v>
      </c>
      <c r="F297" s="29" t="n">
        <f aca="false">C297+D297/2.5+E297</f>
        <v>2303.888</v>
      </c>
    </row>
    <row r="298" customFormat="false" ht="15" hidden="false" customHeight="false" outlineLevel="0" collapsed="false">
      <c r="A298" s="28" t="n">
        <v>45261</v>
      </c>
      <c r="B298" s="30" t="s">
        <v>63</v>
      </c>
      <c r="C298" s="29" t="n">
        <v>1112.55</v>
      </c>
      <c r="D298" s="29" t="n">
        <v>1687.05</v>
      </c>
      <c r="E298" s="29" t="n">
        <v>500.39</v>
      </c>
      <c r="F298" s="29" t="n">
        <f aca="false">C298+D298/2.5+E298</f>
        <v>2287.76</v>
      </c>
    </row>
    <row r="299" customFormat="false" ht="15" hidden="false" customHeight="false" outlineLevel="0" collapsed="false">
      <c r="A299" s="28" t="n">
        <v>45261</v>
      </c>
      <c r="B299" s="30" t="s">
        <v>60</v>
      </c>
      <c r="C299" s="29" t="n">
        <v>1351.77</v>
      </c>
      <c r="D299" s="29" t="n">
        <v>1994.01</v>
      </c>
      <c r="E299" s="29" t="n">
        <v>590.12</v>
      </c>
      <c r="F299" s="29" t="n">
        <f aca="false">C299+D299/2.5+E299</f>
        <v>2739.494</v>
      </c>
    </row>
    <row r="300" customFormat="false" ht="15" hidden="false" customHeight="false" outlineLevel="0" collapsed="false">
      <c r="A300" s="28" t="n">
        <v>45261</v>
      </c>
      <c r="B300" s="30" t="s">
        <v>59</v>
      </c>
      <c r="C300" s="29" t="n">
        <v>1184.02</v>
      </c>
      <c r="D300" s="29" t="n">
        <v>2356.89</v>
      </c>
      <c r="E300" s="29" t="n">
        <v>701.64</v>
      </c>
      <c r="F300" s="29" t="n">
        <f aca="false">C300+D300/2.5+E300</f>
        <v>2828.416</v>
      </c>
    </row>
    <row r="301" customFormat="false" ht="15" hidden="false" customHeight="false" outlineLevel="0" collapsed="false">
      <c r="A301" s="28" t="n">
        <v>45261</v>
      </c>
      <c r="B301" s="30" t="s">
        <v>62</v>
      </c>
      <c r="C301" s="29" t="n">
        <v>1451.75</v>
      </c>
      <c r="D301" s="29" t="n">
        <v>1700.79</v>
      </c>
      <c r="E301" s="29" t="n">
        <v>563.07</v>
      </c>
      <c r="F301" s="29" t="n">
        <f aca="false">C301+D301/2.5+E301</f>
        <v>2695.136</v>
      </c>
    </row>
    <row r="302" customFormat="false" ht="15" hidden="false" customHeight="false" outlineLevel="0" collapsed="false">
      <c r="A302" s="28" t="n">
        <v>45292</v>
      </c>
      <c r="B302" s="30" t="s">
        <v>61</v>
      </c>
      <c r="C302" s="29" t="n">
        <v>1488.7</v>
      </c>
      <c r="D302" s="29" t="n">
        <v>1749.93</v>
      </c>
      <c r="E302" s="29" t="n">
        <v>575.08</v>
      </c>
      <c r="F302" s="29" t="n">
        <f aca="false">C302+D302/2.5+E302</f>
        <v>2763.752</v>
      </c>
    </row>
    <row r="303" customFormat="false" ht="15" hidden="false" customHeight="false" outlineLevel="0" collapsed="false">
      <c r="A303" s="28" t="n">
        <v>45292</v>
      </c>
      <c r="B303" s="30" t="s">
        <v>63</v>
      </c>
      <c r="C303" s="29" t="n">
        <v>1271.55</v>
      </c>
      <c r="D303" s="29" t="n">
        <v>1875.35</v>
      </c>
      <c r="E303" s="29" t="n">
        <v>518.47</v>
      </c>
      <c r="F303" s="29" t="n">
        <f aca="false">C303+D303/2.5+E303</f>
        <v>2540.16</v>
      </c>
    </row>
    <row r="304" customFormat="false" ht="15" hidden="false" customHeight="false" outlineLevel="0" collapsed="false">
      <c r="A304" s="28" t="n">
        <v>45292</v>
      </c>
      <c r="B304" s="30" t="s">
        <v>60</v>
      </c>
      <c r="C304" s="29" t="n">
        <v>1445.5</v>
      </c>
      <c r="D304" s="29" t="n">
        <v>2171.65</v>
      </c>
      <c r="E304" s="29" t="n">
        <v>653.65</v>
      </c>
      <c r="F304" s="29" t="n">
        <f aca="false">C304+D304/2.5+E304</f>
        <v>2967.81</v>
      </c>
    </row>
    <row r="305" customFormat="false" ht="15" hidden="false" customHeight="false" outlineLevel="0" collapsed="false">
      <c r="A305" s="28" t="n">
        <v>45292</v>
      </c>
      <c r="B305" s="30" t="s">
        <v>59</v>
      </c>
      <c r="C305" s="29" t="n">
        <v>1227.48</v>
      </c>
      <c r="D305" s="29" t="n">
        <v>2621.47</v>
      </c>
      <c r="E305" s="29" t="n">
        <v>717.86</v>
      </c>
      <c r="F305" s="29" t="n">
        <f aca="false">C305+D305/2.5+E305</f>
        <v>2993.928</v>
      </c>
    </row>
    <row r="306" customFormat="false" ht="15" hidden="false" customHeight="false" outlineLevel="0" collapsed="false">
      <c r="A306" s="28" t="n">
        <v>45292</v>
      </c>
      <c r="B306" s="30" t="s">
        <v>62</v>
      </c>
      <c r="C306" s="29" t="n">
        <v>1430.46</v>
      </c>
      <c r="D306" s="29" t="n">
        <v>1708.41</v>
      </c>
      <c r="E306" s="29" t="n">
        <v>613.27</v>
      </c>
      <c r="F306" s="29" t="n">
        <f aca="false">C306+D306/2.5+E306</f>
        <v>2727.094</v>
      </c>
    </row>
    <row r="307" customFormat="false" ht="15" hidden="false" customHeight="false" outlineLevel="0" collapsed="false">
      <c r="A307" s="28" t="n">
        <v>45323</v>
      </c>
      <c r="B307" s="30" t="s">
        <v>61</v>
      </c>
      <c r="C307" s="29" t="n">
        <v>1813.64</v>
      </c>
      <c r="D307" s="29" t="n">
        <v>1986.56</v>
      </c>
      <c r="E307" s="29" t="n">
        <v>638.88</v>
      </c>
      <c r="F307" s="29" t="n">
        <f aca="false">C307+D307/2.5+E307</f>
        <v>3247.144</v>
      </c>
    </row>
    <row r="308" customFormat="false" ht="15" hidden="false" customHeight="false" outlineLevel="0" collapsed="false">
      <c r="A308" s="28" t="n">
        <v>45323</v>
      </c>
      <c r="B308" s="30" t="s">
        <v>63</v>
      </c>
      <c r="C308" s="29" t="n">
        <v>1462.24</v>
      </c>
      <c r="D308" s="29" t="n">
        <v>2106.83</v>
      </c>
      <c r="E308" s="29" t="n">
        <v>542.42</v>
      </c>
      <c r="F308" s="29" t="n">
        <f aca="false">C308+D308/2.5+E308</f>
        <v>2847.392</v>
      </c>
    </row>
    <row r="309" customFormat="false" ht="15" hidden="false" customHeight="false" outlineLevel="0" collapsed="false">
      <c r="A309" s="28" t="n">
        <v>45323</v>
      </c>
      <c r="B309" s="30" t="s">
        <v>60</v>
      </c>
      <c r="C309" s="29" t="n">
        <v>1648.61</v>
      </c>
      <c r="D309" s="29" t="n">
        <v>2382.8</v>
      </c>
      <c r="E309" s="29" t="n">
        <v>706.23</v>
      </c>
      <c r="F309" s="29" t="n">
        <f aca="false">C309+D309/2.5+E309</f>
        <v>3307.96</v>
      </c>
    </row>
    <row r="310" customFormat="false" ht="15" hidden="false" customHeight="false" outlineLevel="0" collapsed="false">
      <c r="A310" s="28" t="n">
        <v>45323</v>
      </c>
      <c r="B310" s="30" t="s">
        <v>59</v>
      </c>
      <c r="C310" s="29" t="n">
        <v>1480.1</v>
      </c>
      <c r="D310" s="29" t="n">
        <v>3095.78</v>
      </c>
      <c r="E310" s="29" t="n">
        <v>760.23</v>
      </c>
      <c r="F310" s="29" t="n">
        <f aca="false">C310+D310/2.5+E310</f>
        <v>3478.642</v>
      </c>
    </row>
    <row r="311" customFormat="false" ht="15" hidden="false" customHeight="false" outlineLevel="0" collapsed="false">
      <c r="A311" s="28" t="n">
        <v>45323</v>
      </c>
      <c r="B311" s="30" t="s">
        <v>62</v>
      </c>
      <c r="C311" s="29" t="n">
        <v>1594.38</v>
      </c>
      <c r="D311" s="29" t="n">
        <v>2223.79</v>
      </c>
      <c r="E311" s="29" t="n">
        <v>751.77</v>
      </c>
      <c r="F311" s="29" t="n">
        <f aca="false">C311+D311/2.5+E311</f>
        <v>3235.666</v>
      </c>
    </row>
    <row r="312" customFormat="false" ht="15" hidden="false" customHeight="false" outlineLevel="0" collapsed="false">
      <c r="A312" s="28" t="n">
        <v>45352</v>
      </c>
      <c r="B312" s="30" t="s">
        <v>61</v>
      </c>
      <c r="C312" s="29" t="n">
        <v>1845.86</v>
      </c>
      <c r="D312" s="29" t="n">
        <v>2320.66</v>
      </c>
      <c r="E312" s="29" t="n">
        <v>666.49</v>
      </c>
      <c r="F312" s="29" t="n">
        <f aca="false">C312+D312/2.5+E312</f>
        <v>3440.614</v>
      </c>
    </row>
    <row r="313" customFormat="false" ht="15" hidden="false" customHeight="false" outlineLevel="0" collapsed="false">
      <c r="A313" s="28" t="n">
        <v>45352</v>
      </c>
      <c r="B313" s="30" t="s">
        <v>63</v>
      </c>
      <c r="C313" s="29" t="n">
        <v>1417.42</v>
      </c>
      <c r="D313" s="29" t="n">
        <v>2547.18</v>
      </c>
      <c r="E313" s="29" t="n">
        <v>618.32</v>
      </c>
      <c r="F313" s="29" t="n">
        <f aca="false">C313+D313/2.5+E313</f>
        <v>3054.612</v>
      </c>
    </row>
    <row r="314" customFormat="false" ht="15" hidden="false" customHeight="false" outlineLevel="0" collapsed="false">
      <c r="A314" s="28" t="n">
        <v>45352</v>
      </c>
      <c r="B314" s="30" t="s">
        <v>60</v>
      </c>
      <c r="C314" s="29" t="n">
        <v>1644.5</v>
      </c>
      <c r="D314" s="29" t="n">
        <v>2954.06</v>
      </c>
      <c r="E314" s="29" t="n">
        <v>810.39</v>
      </c>
      <c r="F314" s="29" t="n">
        <f aca="false">C314+D314/2.5+E314</f>
        <v>3636.514</v>
      </c>
    </row>
    <row r="315" customFormat="false" ht="15" hidden="false" customHeight="false" outlineLevel="0" collapsed="false">
      <c r="A315" s="28" t="n">
        <v>45352</v>
      </c>
      <c r="B315" s="30" t="s">
        <v>59</v>
      </c>
      <c r="C315" s="29" t="n">
        <v>1593.06</v>
      </c>
      <c r="D315" s="29" t="n">
        <v>3125.11</v>
      </c>
      <c r="E315" s="29" t="n">
        <v>813.18</v>
      </c>
      <c r="F315" s="29" t="n">
        <f aca="false">C315+D315/2.5+E315</f>
        <v>3656.284</v>
      </c>
    </row>
    <row r="316" customFormat="false" ht="15" hidden="false" customHeight="false" outlineLevel="0" collapsed="false">
      <c r="A316" s="28" t="n">
        <v>45352</v>
      </c>
      <c r="B316" s="30" t="s">
        <v>62</v>
      </c>
      <c r="C316" s="29" t="n">
        <v>1795.23</v>
      </c>
      <c r="D316" s="29" t="n">
        <v>2657.82</v>
      </c>
      <c r="E316" s="29" t="n">
        <v>894.51</v>
      </c>
      <c r="F316" s="29" t="n">
        <f aca="false">C316+D316/2.5+E316</f>
        <v>3752.868</v>
      </c>
    </row>
    <row r="317" customFormat="false" ht="15" hidden="false" customHeight="false" outlineLevel="0" collapsed="false">
      <c r="A317" s="28" t="n">
        <v>45383</v>
      </c>
      <c r="B317" s="30" t="s">
        <v>61</v>
      </c>
      <c r="C317" s="29" t="n">
        <v>1949.57</v>
      </c>
      <c r="D317" s="29" t="n">
        <v>2351.27</v>
      </c>
      <c r="E317" s="29" t="n">
        <v>773.53</v>
      </c>
      <c r="F317" s="29" t="n">
        <f aca="false">C317+D317/2.5+E317</f>
        <v>3663.608</v>
      </c>
    </row>
    <row r="318" customFormat="false" ht="15" hidden="false" customHeight="false" outlineLevel="0" collapsed="false">
      <c r="A318" s="28" t="n">
        <v>45383</v>
      </c>
      <c r="B318" s="30" t="s">
        <v>63</v>
      </c>
      <c r="C318" s="29" t="n">
        <v>1502.25</v>
      </c>
      <c r="D318" s="29" t="n">
        <v>2614.65</v>
      </c>
      <c r="E318" s="29" t="n">
        <v>702.03</v>
      </c>
      <c r="F318" s="29" t="n">
        <f aca="false">C318+D318/2.5+E318</f>
        <v>3250.14</v>
      </c>
    </row>
    <row r="319" customFormat="false" ht="15" hidden="false" customHeight="false" outlineLevel="0" collapsed="false">
      <c r="A319" s="28" t="n">
        <v>45383</v>
      </c>
      <c r="B319" s="30" t="s">
        <v>60</v>
      </c>
      <c r="C319" s="29" t="n">
        <v>1636.31</v>
      </c>
      <c r="D319" s="29" t="n">
        <v>3292.94</v>
      </c>
      <c r="E319" s="29" t="n">
        <v>946.41</v>
      </c>
      <c r="F319" s="29" t="n">
        <f aca="false">C319+D319/2.5+E319</f>
        <v>3899.896</v>
      </c>
    </row>
    <row r="320" customFormat="false" ht="15" hidden="false" customHeight="false" outlineLevel="0" collapsed="false">
      <c r="A320" s="28" t="n">
        <v>45383</v>
      </c>
      <c r="B320" s="30" t="s">
        <v>59</v>
      </c>
      <c r="C320" s="29" t="n">
        <v>1849.84</v>
      </c>
      <c r="D320" s="29" t="n">
        <v>3165.56</v>
      </c>
      <c r="E320" s="29" t="n">
        <v>939.69</v>
      </c>
      <c r="F320" s="29" t="n">
        <f aca="false">C320+D320/2.5+E320</f>
        <v>4055.754</v>
      </c>
    </row>
    <row r="321" customFormat="false" ht="15" hidden="false" customHeight="false" outlineLevel="0" collapsed="false">
      <c r="A321" s="28" t="n">
        <v>45383</v>
      </c>
      <c r="B321" s="30" t="s">
        <v>62</v>
      </c>
      <c r="C321" s="29" t="n">
        <v>1959.28</v>
      </c>
      <c r="D321" s="29" t="n">
        <v>2738.99</v>
      </c>
      <c r="E321" s="29" t="n">
        <v>936.72</v>
      </c>
      <c r="F321" s="29" t="n">
        <f aca="false">C321+D321/2.5+E321</f>
        <v>3991.596</v>
      </c>
    </row>
    <row r="322" customFormat="false" ht="15" hidden="false" customHeight="false" outlineLevel="0" collapsed="false">
      <c r="A322" s="28" t="n">
        <v>45413</v>
      </c>
      <c r="B322" s="30" t="s">
        <v>61</v>
      </c>
      <c r="C322" s="29" t="n">
        <v>2252.4</v>
      </c>
      <c r="D322" s="29" t="n">
        <v>2304.26</v>
      </c>
      <c r="E322" s="29" t="n">
        <v>903.02</v>
      </c>
      <c r="F322" s="29" t="n">
        <f aca="false">C322+D322/2.5+E322</f>
        <v>4077.124</v>
      </c>
    </row>
    <row r="323" customFormat="false" ht="15" hidden="false" customHeight="false" outlineLevel="0" collapsed="false">
      <c r="A323" s="28" t="n">
        <v>45413</v>
      </c>
      <c r="B323" s="30" t="s">
        <v>63</v>
      </c>
      <c r="C323" s="29" t="n">
        <v>1749.07</v>
      </c>
      <c r="D323" s="29" t="n">
        <v>2533.93</v>
      </c>
      <c r="E323" s="29" t="n">
        <v>828.89</v>
      </c>
      <c r="F323" s="29" t="n">
        <f aca="false">C323+D323/2.5+E323</f>
        <v>3591.532</v>
      </c>
    </row>
    <row r="324" customFormat="false" ht="15" hidden="false" customHeight="false" outlineLevel="0" collapsed="false">
      <c r="A324" s="28" t="n">
        <v>45413</v>
      </c>
      <c r="B324" s="30" t="s">
        <v>60</v>
      </c>
      <c r="C324" s="29" t="n">
        <v>1738.2</v>
      </c>
      <c r="D324" s="29" t="n">
        <v>3426.35</v>
      </c>
      <c r="E324" s="29" t="n">
        <v>1072.6</v>
      </c>
      <c r="F324" s="29" t="n">
        <f aca="false">C324+D324/2.5+E324</f>
        <v>4181.34</v>
      </c>
    </row>
    <row r="325" customFormat="false" ht="15" hidden="false" customHeight="false" outlineLevel="0" collapsed="false">
      <c r="A325" s="28" t="n">
        <v>45413</v>
      </c>
      <c r="B325" s="30" t="s">
        <v>59</v>
      </c>
      <c r="C325" s="29" t="n">
        <v>2061.29</v>
      </c>
      <c r="D325" s="29" t="n">
        <v>3217.51</v>
      </c>
      <c r="E325" s="29" t="n">
        <v>1078.5</v>
      </c>
      <c r="F325" s="29" t="n">
        <f aca="false">C325+D325/2.5+E325</f>
        <v>4426.794</v>
      </c>
    </row>
    <row r="326" customFormat="false" ht="15" hidden="false" customHeight="false" outlineLevel="0" collapsed="false">
      <c r="A326" s="28" t="n">
        <v>45413</v>
      </c>
      <c r="B326" s="30" t="s">
        <v>62</v>
      </c>
      <c r="C326" s="29" t="n">
        <v>2030.76</v>
      </c>
      <c r="D326" s="29" t="n">
        <v>2680.31</v>
      </c>
      <c r="E326" s="29" t="n">
        <v>974.35</v>
      </c>
      <c r="F326" s="29" t="n">
        <f aca="false">C326+D326/2.5+E326</f>
        <v>4077.234</v>
      </c>
    </row>
    <row r="327" customFormat="false" ht="15" hidden="false" customHeight="false" outlineLevel="0" collapsed="false">
      <c r="A327" s="28" t="n">
        <v>45444</v>
      </c>
      <c r="B327" s="30" t="s">
        <v>61</v>
      </c>
      <c r="C327" s="29" t="n">
        <v>2345.11</v>
      </c>
      <c r="D327" s="29" t="n">
        <v>3134.25</v>
      </c>
      <c r="E327" s="29" t="n">
        <v>1055.87</v>
      </c>
      <c r="F327" s="29" t="n">
        <f aca="false">C327+D327/2.5+E327</f>
        <v>4654.68</v>
      </c>
    </row>
    <row r="328" customFormat="false" ht="15" hidden="false" customHeight="false" outlineLevel="0" collapsed="false">
      <c r="A328" s="28" t="n">
        <v>45444</v>
      </c>
      <c r="B328" s="30" t="s">
        <v>63</v>
      </c>
      <c r="C328" s="29" t="n">
        <v>1900.52</v>
      </c>
      <c r="D328" s="29" t="n">
        <v>3238.7</v>
      </c>
      <c r="E328" s="29" t="n">
        <v>866.48</v>
      </c>
      <c r="F328" s="29" t="n">
        <f aca="false">C328+D328/2.5+E328</f>
        <v>4062.48</v>
      </c>
    </row>
    <row r="329" customFormat="false" ht="15" hidden="false" customHeight="false" outlineLevel="0" collapsed="false">
      <c r="A329" s="28" t="n">
        <v>45444</v>
      </c>
      <c r="B329" s="30" t="s">
        <v>60</v>
      </c>
      <c r="C329" s="29" t="n">
        <v>1915.76</v>
      </c>
      <c r="D329" s="29" t="n">
        <v>4305.7</v>
      </c>
      <c r="E329" s="29" t="n">
        <v>1125.51</v>
      </c>
      <c r="F329" s="29" t="n">
        <f aca="false">C329+D329/2.5+E329</f>
        <v>4763.55</v>
      </c>
    </row>
    <row r="330" customFormat="false" ht="15" hidden="false" customHeight="false" outlineLevel="0" collapsed="false">
      <c r="A330" s="28" t="n">
        <v>45444</v>
      </c>
      <c r="B330" s="30" t="s">
        <v>59</v>
      </c>
      <c r="C330" s="29" t="n">
        <v>2157</v>
      </c>
      <c r="D330" s="29" t="n">
        <v>4148.35</v>
      </c>
      <c r="E330" s="29" t="n">
        <v>1135.04</v>
      </c>
      <c r="F330" s="29" t="n">
        <f aca="false">C330+D330/2.5+E330</f>
        <v>4951.38</v>
      </c>
    </row>
    <row r="331" customFormat="false" ht="15" hidden="false" customHeight="false" outlineLevel="0" collapsed="false">
      <c r="A331" s="28" t="n">
        <v>45444</v>
      </c>
      <c r="B331" s="30" t="s">
        <v>62</v>
      </c>
      <c r="C331" s="29" t="n">
        <v>2154.5</v>
      </c>
      <c r="D331" s="29" t="n">
        <v>3577.65</v>
      </c>
      <c r="E331" s="29" t="n">
        <v>1036.69</v>
      </c>
      <c r="F331" s="29" t="n">
        <f aca="false">C331+D331/2.5+E331</f>
        <v>4622.25</v>
      </c>
    </row>
    <row r="332" customFormat="false" ht="15" hidden="false" customHeight="false" outlineLevel="0" collapsed="false">
      <c r="A332" s="28" t="n">
        <v>45474</v>
      </c>
      <c r="B332" s="30" t="s">
        <v>61</v>
      </c>
      <c r="C332" s="29" t="n">
        <v>2463.77</v>
      </c>
      <c r="D332" s="29" t="n">
        <v>3307.22</v>
      </c>
      <c r="E332" s="29" t="n">
        <v>1112.94</v>
      </c>
      <c r="F332" s="29" t="n">
        <f aca="false">C332+D332/2.5+E332</f>
        <v>4899.598</v>
      </c>
    </row>
    <row r="333" customFormat="false" ht="15" hidden="false" customHeight="false" outlineLevel="0" collapsed="false">
      <c r="A333" s="28" t="n">
        <v>45474</v>
      </c>
      <c r="B333" s="30" t="s">
        <v>63</v>
      </c>
      <c r="C333" s="29" t="n">
        <v>1818.59</v>
      </c>
      <c r="D333" s="29" t="n">
        <v>3944.27</v>
      </c>
      <c r="E333" s="29" t="n">
        <v>1187.62</v>
      </c>
      <c r="F333" s="29" t="n">
        <f aca="false">C333+D333/2.5+E333</f>
        <v>4583.918</v>
      </c>
    </row>
    <row r="334" customFormat="false" ht="15" hidden="false" customHeight="false" outlineLevel="0" collapsed="false">
      <c r="A334" s="28" t="n">
        <v>45474</v>
      </c>
      <c r="B334" s="30" t="s">
        <v>60</v>
      </c>
      <c r="C334" s="29" t="n">
        <v>1980.42</v>
      </c>
      <c r="D334" s="29" t="n">
        <v>4358.99</v>
      </c>
      <c r="E334" s="29" t="n">
        <v>1197.59</v>
      </c>
      <c r="F334" s="29" t="n">
        <f aca="false">C334+D334/2.5+E334</f>
        <v>4921.606</v>
      </c>
    </row>
    <row r="335" customFormat="false" ht="15" hidden="false" customHeight="false" outlineLevel="0" collapsed="false">
      <c r="A335" s="28" t="n">
        <v>45474</v>
      </c>
      <c r="B335" s="30" t="s">
        <v>59</v>
      </c>
      <c r="C335" s="29" t="n">
        <v>2218.57</v>
      </c>
      <c r="D335" s="29" t="n">
        <v>4301.95</v>
      </c>
      <c r="E335" s="29" t="n">
        <v>1111.73</v>
      </c>
      <c r="F335" s="29" t="n">
        <f aca="false">C335+D335/2.5+E335</f>
        <v>5051.08</v>
      </c>
    </row>
    <row r="336" customFormat="false" ht="15" hidden="false" customHeight="false" outlineLevel="0" collapsed="false">
      <c r="A336" s="28" t="n">
        <v>45474</v>
      </c>
      <c r="B336" s="30" t="s">
        <v>62</v>
      </c>
      <c r="C336" s="29" t="n">
        <v>2271.63</v>
      </c>
      <c r="D336" s="29" t="n">
        <v>3441.28</v>
      </c>
      <c r="E336" s="29" t="n">
        <v>1114.47</v>
      </c>
      <c r="F336" s="29" t="n">
        <f aca="false">C336+D336/2.5+E336</f>
        <v>4762.612</v>
      </c>
    </row>
    <row r="337" customFormat="false" ht="15" hidden="false" customHeight="false" outlineLevel="0" collapsed="false">
      <c r="A337" s="28" t="n">
        <v>45505</v>
      </c>
      <c r="B337" s="30" t="s">
        <v>61</v>
      </c>
      <c r="C337" s="29" t="n">
        <v>2507.31</v>
      </c>
      <c r="D337" s="29" t="n">
        <v>3764.53</v>
      </c>
      <c r="E337" s="29" t="n">
        <v>1151.98</v>
      </c>
      <c r="F337" s="29" t="n">
        <f aca="false">C337+D337/2.5+E337</f>
        <v>5165.102</v>
      </c>
    </row>
    <row r="338" customFormat="false" ht="15" hidden="false" customHeight="false" outlineLevel="0" collapsed="false">
      <c r="A338" s="28" t="n">
        <v>45505</v>
      </c>
      <c r="B338" s="30" t="s">
        <v>63</v>
      </c>
      <c r="C338" s="29" t="n">
        <v>2025.44</v>
      </c>
      <c r="D338" s="29" t="n">
        <v>3804.28</v>
      </c>
      <c r="E338" s="29" t="n">
        <v>1150.61</v>
      </c>
      <c r="F338" s="29" t="n">
        <f aca="false">C338+D338/2.5+E338</f>
        <v>4697.762</v>
      </c>
    </row>
    <row r="339" customFormat="false" ht="15" hidden="false" customHeight="false" outlineLevel="0" collapsed="false">
      <c r="A339" s="28" t="n">
        <v>45505</v>
      </c>
      <c r="B339" s="30" t="s">
        <v>60</v>
      </c>
      <c r="C339" s="29" t="n">
        <v>2323.7</v>
      </c>
      <c r="D339" s="29" t="n">
        <v>4088.61</v>
      </c>
      <c r="E339" s="29" t="n">
        <v>1172.6</v>
      </c>
      <c r="F339" s="29" t="n">
        <f aca="false">C339+D339/2.5+E339</f>
        <v>5131.744</v>
      </c>
    </row>
    <row r="340" customFormat="false" ht="15" hidden="false" customHeight="false" outlineLevel="0" collapsed="false">
      <c r="A340" s="28" t="n">
        <v>45505</v>
      </c>
      <c r="B340" s="30" t="s">
        <v>59</v>
      </c>
      <c r="C340" s="29" t="n">
        <v>2371.41</v>
      </c>
      <c r="D340" s="29" t="n">
        <v>4369.17</v>
      </c>
      <c r="E340" s="29" t="n">
        <v>1115.42</v>
      </c>
      <c r="F340" s="29" t="n">
        <f aca="false">C340+D340/2.5+E340</f>
        <v>5234.498</v>
      </c>
    </row>
    <row r="341" customFormat="false" ht="15" hidden="false" customHeight="false" outlineLevel="0" collapsed="false">
      <c r="A341" s="28" t="n">
        <v>45505</v>
      </c>
      <c r="B341" s="30" t="s">
        <v>62</v>
      </c>
      <c r="C341" s="29" t="n">
        <v>2381.11</v>
      </c>
      <c r="D341" s="29" t="n">
        <v>3823.41</v>
      </c>
      <c r="E341" s="29" t="n">
        <v>1070.07</v>
      </c>
      <c r="F341" s="29" t="n">
        <f aca="false">C341+D341/2.5+E341</f>
        <v>4980.544</v>
      </c>
    </row>
    <row r="342" customFormat="false" ht="15" hidden="false" customHeight="false" outlineLevel="0" collapsed="false">
      <c r="A342" s="28" t="n">
        <v>45536</v>
      </c>
      <c r="B342" s="30" t="s">
        <v>61</v>
      </c>
      <c r="C342" s="29" t="n">
        <v>2546.51</v>
      </c>
      <c r="D342" s="29" t="n">
        <v>3704.27</v>
      </c>
      <c r="E342" s="29" t="n">
        <v>1181.02</v>
      </c>
      <c r="F342" s="29" t="n">
        <f aca="false">C342+D342/2.5+E342</f>
        <v>5209.238</v>
      </c>
    </row>
    <row r="343" customFormat="false" ht="15" hidden="false" customHeight="false" outlineLevel="0" collapsed="false">
      <c r="A343" s="28" t="n">
        <v>45536</v>
      </c>
      <c r="B343" s="30" t="s">
        <v>63</v>
      </c>
      <c r="C343" s="29" t="n">
        <v>2072.72</v>
      </c>
      <c r="D343" s="29" t="n">
        <v>3456.74</v>
      </c>
      <c r="E343" s="29" t="n">
        <v>1209.5</v>
      </c>
      <c r="F343" s="29" t="n">
        <f aca="false">C343+D343/2.5+E343</f>
        <v>4664.916</v>
      </c>
    </row>
    <row r="344" customFormat="false" ht="15" hidden="false" customHeight="false" outlineLevel="0" collapsed="false">
      <c r="A344" s="28" t="n">
        <v>45536</v>
      </c>
      <c r="B344" s="30" t="s">
        <v>60</v>
      </c>
      <c r="C344" s="29" t="n">
        <v>2651.87</v>
      </c>
      <c r="D344" s="29" t="n">
        <v>3960.33</v>
      </c>
      <c r="E344" s="29" t="n">
        <v>1217.29</v>
      </c>
      <c r="F344" s="29" t="n">
        <f aca="false">C344+D344/2.5+E344</f>
        <v>5453.292</v>
      </c>
    </row>
    <row r="345" customFormat="false" ht="15" hidden="false" customHeight="false" outlineLevel="0" collapsed="false">
      <c r="A345" s="28" t="n">
        <v>45536</v>
      </c>
      <c r="B345" s="30" t="s">
        <v>59</v>
      </c>
      <c r="C345" s="29" t="n">
        <v>2437.17</v>
      </c>
      <c r="D345" s="29" t="n">
        <v>4105.31</v>
      </c>
      <c r="E345" s="29" t="n">
        <v>1122.77</v>
      </c>
      <c r="F345" s="29" t="n">
        <f aca="false">C345+D345/2.5+E345</f>
        <v>5202.064</v>
      </c>
    </row>
    <row r="346" customFormat="false" ht="15" hidden="false" customHeight="false" outlineLevel="0" collapsed="false">
      <c r="A346" s="28" t="n">
        <v>45536</v>
      </c>
      <c r="B346" s="30" t="s">
        <v>62</v>
      </c>
      <c r="C346" s="29" t="n">
        <v>2448.24</v>
      </c>
      <c r="D346" s="29" t="n">
        <v>4002.08</v>
      </c>
      <c r="E346" s="29" t="n">
        <v>1135.47</v>
      </c>
      <c r="F346" s="29" t="n">
        <f aca="false">C346+D346/2.5+E346</f>
        <v>5184.542</v>
      </c>
    </row>
    <row r="347" customFormat="false" ht="15" hidden="false" customHeight="false" outlineLevel="0" collapsed="false">
      <c r="A347" s="28" t="n">
        <v>45566</v>
      </c>
      <c r="B347" s="30" t="s">
        <v>61</v>
      </c>
      <c r="C347" s="29" t="n">
        <v>2577.94</v>
      </c>
      <c r="D347" s="29" t="n">
        <v>3182.45</v>
      </c>
      <c r="E347" s="29" t="n">
        <v>1198.01</v>
      </c>
      <c r="F347" s="29" t="n">
        <f aca="false">C347+D347/2.5+E347</f>
        <v>5048.93</v>
      </c>
    </row>
    <row r="348" customFormat="false" ht="15" hidden="false" customHeight="false" outlineLevel="0" collapsed="false">
      <c r="A348" s="28" t="n">
        <v>45566</v>
      </c>
      <c r="B348" s="30" t="s">
        <v>63</v>
      </c>
      <c r="C348" s="29" t="n">
        <v>2262.73</v>
      </c>
      <c r="D348" s="29" t="n">
        <v>2817.28</v>
      </c>
      <c r="E348" s="29" t="n">
        <v>1176.98</v>
      </c>
      <c r="F348" s="29" t="n">
        <f aca="false">C348+D348/2.5+E348</f>
        <v>4566.622</v>
      </c>
    </row>
    <row r="349" customFormat="false" ht="15" hidden="false" customHeight="false" outlineLevel="0" collapsed="false">
      <c r="A349" s="28" t="n">
        <v>45566</v>
      </c>
      <c r="B349" s="30" t="s">
        <v>60</v>
      </c>
      <c r="C349" s="29" t="n">
        <v>2827.14</v>
      </c>
      <c r="D349" s="29" t="n">
        <v>3315.59</v>
      </c>
      <c r="E349" s="29" t="n">
        <v>1223.03</v>
      </c>
      <c r="F349" s="29" t="n">
        <f aca="false">C349+D349/2.5+E349</f>
        <v>5376.406</v>
      </c>
    </row>
    <row r="350" customFormat="false" ht="15" hidden="false" customHeight="false" outlineLevel="0" collapsed="false">
      <c r="A350" s="28" t="n">
        <v>45566</v>
      </c>
      <c r="B350" s="30" t="s">
        <v>59</v>
      </c>
      <c r="C350" s="29" t="n">
        <v>2422.1</v>
      </c>
      <c r="D350" s="29" t="n">
        <v>3826.31</v>
      </c>
      <c r="E350" s="29" t="n">
        <v>1199.78</v>
      </c>
      <c r="F350" s="29" t="n">
        <f aca="false">C350+D350/2.5+E350</f>
        <v>5152.404</v>
      </c>
    </row>
    <row r="351" customFormat="false" ht="15" hidden="false" customHeight="false" outlineLevel="0" collapsed="false">
      <c r="A351" s="28" t="n">
        <v>45566</v>
      </c>
      <c r="B351" s="30" t="s">
        <v>62</v>
      </c>
      <c r="C351" s="29" t="n">
        <v>2483.25</v>
      </c>
      <c r="D351" s="29" t="n">
        <v>3223.01</v>
      </c>
      <c r="E351" s="29" t="n">
        <v>1163.95</v>
      </c>
      <c r="F351" s="29" t="n">
        <f aca="false">C351+D351/2.5+E351</f>
        <v>4936.404</v>
      </c>
    </row>
    <row r="352" customFormat="false" ht="15" hidden="false" customHeight="false" outlineLevel="0" collapsed="false">
      <c r="A352" s="28" t="n">
        <v>45597</v>
      </c>
      <c r="B352" s="30" t="s">
        <v>61</v>
      </c>
      <c r="C352" s="29" t="n">
        <v>2613.41</v>
      </c>
      <c r="D352" s="29" t="n">
        <v>2880.99</v>
      </c>
      <c r="E352" s="29" t="n">
        <v>1092.74</v>
      </c>
      <c r="F352" s="29" t="n">
        <f aca="false">C352+D352/2.5+E352</f>
        <v>4858.546</v>
      </c>
    </row>
    <row r="353" customFormat="false" ht="15" hidden="false" customHeight="false" outlineLevel="0" collapsed="false">
      <c r="A353" s="28" t="n">
        <v>45597</v>
      </c>
      <c r="B353" s="30" t="s">
        <v>63</v>
      </c>
      <c r="C353" s="29" t="n">
        <v>2338.14</v>
      </c>
      <c r="D353" s="29" t="n">
        <v>2729.43</v>
      </c>
      <c r="E353" s="29" t="n">
        <v>1213.98</v>
      </c>
      <c r="F353" s="29" t="n">
        <f aca="false">C353+D353/2.5+E353</f>
        <v>4643.892</v>
      </c>
    </row>
    <row r="354" customFormat="false" ht="15" hidden="false" customHeight="false" outlineLevel="0" collapsed="false">
      <c r="A354" s="28" t="n">
        <v>45597</v>
      </c>
      <c r="B354" s="30" t="s">
        <v>60</v>
      </c>
      <c r="C354" s="29" t="n">
        <v>2797.2</v>
      </c>
      <c r="D354" s="29" t="n">
        <v>3302.69</v>
      </c>
      <c r="E354" s="29" t="n">
        <v>1265.69</v>
      </c>
      <c r="F354" s="29" t="n">
        <f aca="false">C354+D354/2.5+E354</f>
        <v>5383.966</v>
      </c>
    </row>
    <row r="355" customFormat="false" ht="15" hidden="false" customHeight="false" outlineLevel="0" collapsed="false">
      <c r="A355" s="28" t="n">
        <v>45597</v>
      </c>
      <c r="B355" s="30" t="s">
        <v>59</v>
      </c>
      <c r="C355" s="29" t="n">
        <v>2334.68</v>
      </c>
      <c r="D355" s="29" t="n">
        <v>3944.05</v>
      </c>
      <c r="E355" s="29" t="n">
        <v>1230.74</v>
      </c>
      <c r="F355" s="29" t="n">
        <f aca="false">C355+D355/2.5+E355</f>
        <v>5143.04</v>
      </c>
    </row>
    <row r="356" customFormat="false" ht="15" hidden="false" customHeight="false" outlineLevel="0" collapsed="false">
      <c r="A356" s="28" t="n">
        <v>45597</v>
      </c>
      <c r="B356" s="30" t="s">
        <v>62</v>
      </c>
      <c r="C356" s="29" t="n">
        <v>2554.34</v>
      </c>
      <c r="D356" s="29" t="n">
        <v>2795.62</v>
      </c>
      <c r="E356" s="29" t="n">
        <v>1189.52</v>
      </c>
      <c r="F356" s="29" t="n">
        <f aca="false">C356+D356/2.5+E356</f>
        <v>4862.108</v>
      </c>
    </row>
    <row r="357" customFormat="false" ht="15" hidden="false" customHeight="false" outlineLevel="0" collapsed="false">
      <c r="A357" s="28" t="n">
        <v>45627</v>
      </c>
      <c r="B357" s="30" t="s">
        <v>61</v>
      </c>
      <c r="C357" s="29" t="n">
        <v>2669.29</v>
      </c>
      <c r="D357" s="29" t="n">
        <v>2661.16</v>
      </c>
      <c r="E357" s="29" t="n">
        <v>1064.14</v>
      </c>
      <c r="F357" s="29" t="n">
        <f aca="false">C357+D357/2.5+E357</f>
        <v>4797.894</v>
      </c>
    </row>
    <row r="358" customFormat="false" ht="15" hidden="false" customHeight="false" outlineLevel="0" collapsed="false">
      <c r="A358" s="28" t="n">
        <v>45627</v>
      </c>
      <c r="B358" s="30" t="s">
        <v>63</v>
      </c>
      <c r="C358" s="29" t="n">
        <v>2300.49</v>
      </c>
      <c r="D358" s="29" t="n">
        <v>2742.52</v>
      </c>
      <c r="E358" s="29" t="n">
        <v>1164.64</v>
      </c>
      <c r="F358" s="29" t="n">
        <f aca="false">C358+D358/2.5+E358</f>
        <v>4562.138</v>
      </c>
    </row>
    <row r="359" customFormat="false" ht="15" hidden="false" customHeight="false" outlineLevel="0" collapsed="false">
      <c r="A359" s="28" t="n">
        <v>45627</v>
      </c>
      <c r="B359" s="30" t="s">
        <v>60</v>
      </c>
      <c r="C359" s="29" t="n">
        <v>2853.11</v>
      </c>
      <c r="D359" s="29" t="n">
        <v>3209.3</v>
      </c>
      <c r="E359" s="29" t="n">
        <v>1234.9</v>
      </c>
      <c r="F359" s="29" t="n">
        <f aca="false">C359+D359/2.5+E359</f>
        <v>5371.73</v>
      </c>
    </row>
    <row r="360" customFormat="false" ht="15" hidden="false" customHeight="false" outlineLevel="0" collapsed="false">
      <c r="A360" s="28" t="n">
        <v>45627</v>
      </c>
      <c r="B360" s="30" t="s">
        <v>59</v>
      </c>
      <c r="C360" s="29" t="n">
        <v>2532.22</v>
      </c>
      <c r="D360" s="29" t="n">
        <v>3768.93</v>
      </c>
      <c r="E360" s="29" t="n">
        <v>1222.34</v>
      </c>
      <c r="F360" s="29" t="n">
        <f aca="false">C360+D360/2.5+E360</f>
        <v>5262.132</v>
      </c>
    </row>
    <row r="361" customFormat="false" ht="15" hidden="false" customHeight="false" outlineLevel="0" collapsed="false">
      <c r="A361" s="28" t="n">
        <v>45627</v>
      </c>
      <c r="B361" s="30" t="s">
        <v>62</v>
      </c>
      <c r="C361" s="29" t="n">
        <v>2578.09</v>
      </c>
      <c r="D361" s="29" t="n">
        <v>2820.02</v>
      </c>
      <c r="E361" s="29" t="n">
        <v>1202.94</v>
      </c>
      <c r="F361" s="29" t="n">
        <f aca="false">C361+D361/2.5+E361</f>
        <v>4909.038</v>
      </c>
    </row>
    <row r="362" customFormat="false" ht="15" hidden="false" customHeight="false" outlineLevel="0" collapsed="false">
      <c r="A362" s="28" t="n">
        <v>45658</v>
      </c>
      <c r="B362" s="30" t="s">
        <v>61</v>
      </c>
      <c r="C362" s="29" t="n">
        <v>2532.21</v>
      </c>
      <c r="D362" s="29" t="n">
        <v>3072.66</v>
      </c>
      <c r="E362" s="29" t="n">
        <v>1212.77</v>
      </c>
      <c r="F362" s="29" t="n">
        <f aca="false">C362+D362/2.5+E362</f>
        <v>4974.044</v>
      </c>
    </row>
    <row r="363" customFormat="false" ht="15" hidden="false" customHeight="false" outlineLevel="0" collapsed="false">
      <c r="A363" s="28" t="n">
        <v>45658</v>
      </c>
      <c r="B363" s="30" t="s">
        <v>63</v>
      </c>
      <c r="C363" s="29" t="n">
        <v>2678.39</v>
      </c>
      <c r="D363" s="29" t="n">
        <v>2817.04</v>
      </c>
      <c r="E363" s="29" t="n">
        <v>1499.03</v>
      </c>
      <c r="F363" s="29" t="n">
        <f aca="false">C363+D363/2.5+E363</f>
        <v>5304.236</v>
      </c>
    </row>
    <row r="364" customFormat="false" ht="15" hidden="false" customHeight="false" outlineLevel="0" collapsed="false">
      <c r="A364" s="28" t="n">
        <v>45658</v>
      </c>
      <c r="B364" s="30" t="s">
        <v>60</v>
      </c>
      <c r="C364" s="29" t="n">
        <v>2733.63</v>
      </c>
      <c r="D364" s="29" t="n">
        <v>3671.58</v>
      </c>
      <c r="E364" s="29" t="n">
        <v>1291.21</v>
      </c>
      <c r="F364" s="29" t="n">
        <f aca="false">C364+D364/2.5+E364</f>
        <v>5493.472</v>
      </c>
    </row>
    <row r="365" customFormat="false" ht="15" hidden="false" customHeight="false" outlineLevel="0" collapsed="false">
      <c r="A365" s="28" t="n">
        <v>45658</v>
      </c>
      <c r="B365" s="30" t="s">
        <v>59</v>
      </c>
      <c r="C365" s="29" t="n">
        <v>2626.58</v>
      </c>
      <c r="D365" s="29" t="n">
        <v>3671.34</v>
      </c>
      <c r="E365" s="29" t="n">
        <v>1224.51</v>
      </c>
      <c r="F365" s="29" t="n">
        <f aca="false">C365+D365/2.5+E365</f>
        <v>5319.626</v>
      </c>
    </row>
    <row r="366" customFormat="false" ht="15" hidden="false" customHeight="false" outlineLevel="0" collapsed="false">
      <c r="A366" s="28" t="n">
        <v>45658</v>
      </c>
      <c r="B366" s="30" t="s">
        <v>62</v>
      </c>
      <c r="C366" s="29" t="n">
        <v>2422.47</v>
      </c>
      <c r="D366" s="29" t="n">
        <v>2925.64</v>
      </c>
      <c r="E366" s="29" t="n">
        <v>1016.54</v>
      </c>
      <c r="F366" s="29" t="n">
        <f aca="false">C366+D366/2.5+E366</f>
        <v>4609.266</v>
      </c>
    </row>
    <row r="367" customFormat="false" ht="15" hidden="false" customHeight="false" outlineLevel="0" collapsed="false">
      <c r="A367" s="28" t="n">
        <v>45689</v>
      </c>
      <c r="B367" s="30" t="s">
        <v>61</v>
      </c>
      <c r="C367" s="29" t="n">
        <v>2667.53</v>
      </c>
      <c r="D367" s="29" t="n">
        <v>2750.89</v>
      </c>
      <c r="E367" s="29" t="n">
        <v>1231.31</v>
      </c>
      <c r="F367" s="29" t="n">
        <f aca="false">C367+D367/2.5+E367</f>
        <v>4999.196</v>
      </c>
    </row>
    <row r="368" customFormat="false" ht="15" hidden="false" customHeight="false" outlineLevel="0" collapsed="false">
      <c r="A368" s="28" t="n">
        <v>45689</v>
      </c>
      <c r="B368" s="30" t="s">
        <v>63</v>
      </c>
      <c r="C368" s="29" t="n">
        <v>2758.03</v>
      </c>
      <c r="D368" s="29" t="n">
        <v>2711.45</v>
      </c>
      <c r="E368" s="29" t="n">
        <v>1559.3</v>
      </c>
      <c r="F368" s="29" t="n">
        <f aca="false">C368+D368/2.5+E368</f>
        <v>5401.91</v>
      </c>
    </row>
    <row r="369" customFormat="false" ht="15" hidden="false" customHeight="false" outlineLevel="0" collapsed="false">
      <c r="A369" s="28" t="n">
        <v>45689</v>
      </c>
      <c r="B369" s="30" t="s">
        <v>60</v>
      </c>
      <c r="C369" s="29" t="n">
        <v>2562.98</v>
      </c>
      <c r="D369" s="29" t="n">
        <v>3511.49</v>
      </c>
      <c r="E369" s="29" t="n">
        <v>1274.51</v>
      </c>
      <c r="F369" s="29" t="n">
        <f aca="false">C369+D369/2.5+E369</f>
        <v>5242.086</v>
      </c>
    </row>
    <row r="370" customFormat="false" ht="15" hidden="false" customHeight="false" outlineLevel="0" collapsed="false">
      <c r="A370" s="28" t="n">
        <v>45689</v>
      </c>
      <c r="B370" s="30" t="s">
        <v>59</v>
      </c>
      <c r="C370" s="29" t="n">
        <v>2660.06</v>
      </c>
      <c r="D370" s="29" t="n">
        <v>3650.19</v>
      </c>
      <c r="E370" s="29" t="n">
        <v>1211.61</v>
      </c>
      <c r="F370" s="29" t="n">
        <f aca="false">C370+D370/2.5+E370</f>
        <v>5331.746</v>
      </c>
    </row>
    <row r="371" customFormat="false" ht="15" hidden="false" customHeight="false" outlineLevel="0" collapsed="false">
      <c r="A371" s="28" t="n">
        <v>45689</v>
      </c>
      <c r="B371" s="30" t="s">
        <v>62</v>
      </c>
      <c r="C371" s="29" t="n">
        <v>2418.67</v>
      </c>
      <c r="D371" s="29" t="n">
        <v>3197.08</v>
      </c>
      <c r="E371" s="29" t="n">
        <v>1030.22</v>
      </c>
      <c r="F371" s="29" t="n">
        <f aca="false">C371+D371/2.5+E371</f>
        <v>4727.722</v>
      </c>
    </row>
    <row r="372" customFormat="false" ht="15" hidden="false" customHeight="false" outlineLevel="0" collapsed="false">
      <c r="A372" s="28" t="n">
        <v>45717</v>
      </c>
      <c r="B372" s="30" t="s">
        <v>61</v>
      </c>
      <c r="C372" s="29" t="n">
        <v>2836.32</v>
      </c>
      <c r="D372" s="29" t="n">
        <v>2487</v>
      </c>
      <c r="E372" s="29" t="n">
        <v>1387.53</v>
      </c>
      <c r="F372" s="29" t="n">
        <f aca="false">C372+D372/2.5+E372</f>
        <v>5218.65</v>
      </c>
    </row>
    <row r="373" customFormat="false" ht="15" hidden="false" customHeight="false" outlineLevel="0" collapsed="false">
      <c r="A373" s="28" t="n">
        <v>45717</v>
      </c>
      <c r="B373" s="30" t="s">
        <v>63</v>
      </c>
      <c r="C373" s="29" t="n">
        <v>2808.59</v>
      </c>
      <c r="D373" s="29" t="n">
        <v>2617.31</v>
      </c>
      <c r="E373" s="29" t="n">
        <v>1593.61</v>
      </c>
      <c r="F373" s="29" t="n">
        <f aca="false">C373+D373/2.5+E373</f>
        <v>5449.124</v>
      </c>
    </row>
    <row r="374" customFormat="false" ht="15" hidden="false" customHeight="false" outlineLevel="0" collapsed="false">
      <c r="A374" s="28" t="n">
        <v>45717</v>
      </c>
      <c r="B374" s="30" t="s">
        <v>60</v>
      </c>
      <c r="C374" s="29" t="n">
        <v>2750.96</v>
      </c>
      <c r="D374" s="29" t="n">
        <v>3172.68</v>
      </c>
      <c r="E374" s="29" t="n">
        <v>1391.34</v>
      </c>
      <c r="F374" s="29" t="n">
        <f aca="false">C374+D374/2.5+E374</f>
        <v>5411.372</v>
      </c>
    </row>
    <row r="375" customFormat="false" ht="15" hidden="false" customHeight="false" outlineLevel="0" collapsed="false">
      <c r="A375" s="28" t="n">
        <v>45717</v>
      </c>
      <c r="B375" s="30" t="s">
        <v>59</v>
      </c>
      <c r="C375" s="29" t="n">
        <v>2795.96</v>
      </c>
      <c r="D375" s="29" t="n">
        <v>3118.96</v>
      </c>
      <c r="E375" s="29" t="n">
        <v>1256.21</v>
      </c>
      <c r="F375" s="29" t="n">
        <f aca="false">C375+D375/2.5+E375</f>
        <v>5299.754</v>
      </c>
    </row>
    <row r="376" customFormat="false" ht="15" hidden="false" customHeight="false" outlineLevel="0" collapsed="false">
      <c r="A376" s="28" t="n">
        <v>45717</v>
      </c>
      <c r="B376" s="30" t="s">
        <v>62</v>
      </c>
      <c r="C376" s="29" t="n">
        <v>2489.98</v>
      </c>
      <c r="D376" s="29" t="n">
        <v>2988.76</v>
      </c>
      <c r="E376" s="29" t="n">
        <v>1131.72</v>
      </c>
      <c r="F376" s="29" t="n">
        <f aca="false">C376+D376/2.5+E376</f>
        <v>4817.204</v>
      </c>
    </row>
    <row r="377" customFormat="false" ht="15" hidden="false" customHeight="false" outlineLevel="0" collapsed="false">
      <c r="A377" s="28" t="n">
        <v>45748</v>
      </c>
      <c r="B377" s="30" t="s">
        <v>61</v>
      </c>
      <c r="C377" s="29" t="n">
        <v>2671.43</v>
      </c>
      <c r="D377" s="29" t="n">
        <v>2482.84</v>
      </c>
      <c r="E377" s="29" t="n">
        <v>1386.14</v>
      </c>
      <c r="F377" s="29" t="n">
        <f aca="false">C377+D377/2.5+E377</f>
        <v>5050.706</v>
      </c>
    </row>
    <row r="378" customFormat="false" ht="15" hidden="false" customHeight="false" outlineLevel="0" collapsed="false">
      <c r="A378" s="28" t="n">
        <v>45748</v>
      </c>
      <c r="B378" s="30" t="s">
        <v>63</v>
      </c>
      <c r="C378" s="29" t="n">
        <v>2661.35</v>
      </c>
      <c r="D378" s="29" t="n">
        <v>2641.4</v>
      </c>
      <c r="E378" s="29" t="n">
        <v>1503.74</v>
      </c>
      <c r="F378" s="29" t="n">
        <f aca="false">C378+D378/2.5+E378</f>
        <v>5221.65</v>
      </c>
    </row>
    <row r="379" customFormat="false" ht="15" hidden="false" customHeight="false" outlineLevel="0" collapsed="false">
      <c r="A379" s="28" t="n">
        <v>45748</v>
      </c>
      <c r="B379" s="30" t="s">
        <v>60</v>
      </c>
      <c r="C379" s="29" t="n">
        <v>2704.6</v>
      </c>
      <c r="D379" s="29" t="n">
        <v>2981.66</v>
      </c>
      <c r="E379" s="29" t="n">
        <v>1410.22</v>
      </c>
      <c r="F379" s="29" t="n">
        <f aca="false">C379+D379/2.5+E379</f>
        <v>5307.484</v>
      </c>
    </row>
    <row r="380" customFormat="false" ht="15" hidden="false" customHeight="false" outlineLevel="0" collapsed="false">
      <c r="A380" s="28" t="n">
        <v>45748</v>
      </c>
      <c r="B380" s="30" t="s">
        <v>59</v>
      </c>
      <c r="C380" s="29" t="n">
        <v>2735.17</v>
      </c>
      <c r="D380" s="29" t="n">
        <v>3073.17</v>
      </c>
      <c r="E380" s="29" t="n">
        <v>1275.73</v>
      </c>
      <c r="F380" s="29" t="n">
        <f aca="false">C380+D380/2.5+E380</f>
        <v>5240.168</v>
      </c>
    </row>
    <row r="381" customFormat="false" ht="15" hidden="false" customHeight="false" outlineLevel="0" collapsed="false">
      <c r="A381" s="28" t="n">
        <v>45748</v>
      </c>
      <c r="B381" s="30" t="s">
        <v>62</v>
      </c>
      <c r="C381" s="29" t="n">
        <v>2400</v>
      </c>
      <c r="D381" s="29" t="n">
        <v>2706.5</v>
      </c>
      <c r="E381" s="29" t="n">
        <v>1127.59</v>
      </c>
      <c r="F381" s="29" t="n">
        <f aca="false">C381+D381/2.5+E381</f>
        <v>4610.19</v>
      </c>
    </row>
    <row r="382" customFormat="false" ht="15" hidden="false" customHeight="false" outlineLevel="0" collapsed="false">
      <c r="A382" s="28" t="n">
        <v>45778</v>
      </c>
      <c r="B382" s="30" t="s">
        <v>61</v>
      </c>
      <c r="C382" s="29" t="n">
        <v>2679.78</v>
      </c>
      <c r="D382" s="29" t="n">
        <v>2427.22</v>
      </c>
      <c r="E382" s="29" t="n">
        <v>1392.15</v>
      </c>
      <c r="F382" s="29" t="n">
        <f aca="false">C382+D382/2.5+E382</f>
        <v>5042.818</v>
      </c>
    </row>
    <row r="383" customFormat="false" ht="15" hidden="false" customHeight="false" outlineLevel="0" collapsed="false">
      <c r="A383" s="28" t="n">
        <v>45778</v>
      </c>
      <c r="B383" s="30" t="s">
        <v>63</v>
      </c>
      <c r="C383" s="29" t="n">
        <v>2670.65</v>
      </c>
      <c r="D383" s="29" t="n">
        <v>2508.19</v>
      </c>
      <c r="E383" s="29" t="n">
        <v>1514.19</v>
      </c>
      <c r="F383" s="29" t="n">
        <f aca="false">C383+D383/2.5+E383</f>
        <v>5188.116</v>
      </c>
    </row>
    <row r="384" customFormat="false" ht="15" hidden="false" customHeight="false" outlineLevel="0" collapsed="false">
      <c r="A384" s="28" t="n">
        <v>45778</v>
      </c>
      <c r="B384" s="30" t="s">
        <v>60</v>
      </c>
      <c r="C384" s="29" t="n">
        <v>2690.5</v>
      </c>
      <c r="D384" s="29" t="n">
        <v>3050.05</v>
      </c>
      <c r="E384" s="29" t="n">
        <v>1428.05</v>
      </c>
      <c r="F384" s="29" t="n">
        <f aca="false">C384+D384/2.5+E384</f>
        <v>5338.57</v>
      </c>
    </row>
    <row r="385" customFormat="false" ht="15" hidden="false" customHeight="false" outlineLevel="0" collapsed="false">
      <c r="A385" s="28" t="n">
        <v>45778</v>
      </c>
      <c r="B385" s="30" t="s">
        <v>59</v>
      </c>
      <c r="C385" s="29" t="n">
        <v>2814.07</v>
      </c>
      <c r="D385" s="29" t="n">
        <v>3048.46</v>
      </c>
      <c r="E385" s="29" t="n">
        <v>1188.87</v>
      </c>
      <c r="F385" s="29" t="n">
        <f aca="false">C385+D385/2.5+E385</f>
        <v>5222.324</v>
      </c>
    </row>
    <row r="386" customFormat="false" ht="15" hidden="false" customHeight="false" outlineLevel="0" collapsed="false">
      <c r="A386" s="28" t="n">
        <v>45778</v>
      </c>
      <c r="B386" s="30" t="s">
        <v>62</v>
      </c>
      <c r="C386" s="29" t="n">
        <v>2341.68</v>
      </c>
      <c r="D386" s="29" t="n">
        <v>2458.18</v>
      </c>
      <c r="E386" s="29" t="n">
        <v>1135</v>
      </c>
      <c r="F386" s="29" t="n">
        <f aca="false">C386+D386/2.5+E386</f>
        <v>4459.952</v>
      </c>
    </row>
    <row r="387" customFormat="false" ht="15" hidden="false" customHeight="false" outlineLevel="0" collapsed="false">
      <c r="A387" s="28" t="n">
        <v>45809</v>
      </c>
      <c r="B387" s="30" t="s">
        <v>61</v>
      </c>
      <c r="C387" s="29" t="n">
        <v>2695.7</v>
      </c>
      <c r="D387" s="29" t="n">
        <v>2252.16</v>
      </c>
      <c r="E387" s="29" t="n">
        <v>1290.37</v>
      </c>
      <c r="F387" s="29" t="n">
        <f aca="false">C387+D387/2.5+E387</f>
        <v>4886.934</v>
      </c>
    </row>
    <row r="388" customFormat="false" ht="15" hidden="false" customHeight="false" outlineLevel="0" collapsed="false">
      <c r="A388" s="28" t="n">
        <v>45809</v>
      </c>
      <c r="B388" s="30" t="s">
        <v>63</v>
      </c>
      <c r="C388" s="29" t="n">
        <v>2562.46</v>
      </c>
      <c r="D388" s="29" t="n">
        <v>2325.26</v>
      </c>
      <c r="E388" s="29" t="n">
        <v>1334.3</v>
      </c>
      <c r="F388" s="29" t="n">
        <f aca="false">C388+D388/2.5+E388</f>
        <v>4826.864</v>
      </c>
    </row>
    <row r="389" customFormat="false" ht="15" hidden="false" customHeight="false" outlineLevel="0" collapsed="false">
      <c r="A389" s="28" t="n">
        <v>45809</v>
      </c>
      <c r="B389" s="30" t="s">
        <v>60</v>
      </c>
      <c r="C389" s="29" t="n">
        <v>2691.24</v>
      </c>
      <c r="D389" s="29" t="n">
        <v>2966.6</v>
      </c>
      <c r="E389" s="29" t="n">
        <v>1451.7</v>
      </c>
      <c r="F389" s="29" t="n">
        <f aca="false">C389+D389/2.5+E389</f>
        <v>5329.58</v>
      </c>
    </row>
    <row r="390" customFormat="false" ht="15" hidden="false" customHeight="false" outlineLevel="0" collapsed="false">
      <c r="A390" s="28" t="n">
        <v>45809</v>
      </c>
      <c r="B390" s="30" t="s">
        <v>59</v>
      </c>
      <c r="C390" s="29" t="n">
        <v>3008.77</v>
      </c>
      <c r="D390" s="29" t="n">
        <v>2712.89</v>
      </c>
      <c r="E390" s="29" t="n">
        <v>1181.4</v>
      </c>
      <c r="F390" s="29" t="n">
        <f aca="false">C390+D390/2.5+E390</f>
        <v>5275.326</v>
      </c>
    </row>
    <row r="391" customFormat="false" ht="15" hidden="false" customHeight="false" outlineLevel="0" collapsed="false">
      <c r="A391" s="28" t="n">
        <v>45809</v>
      </c>
      <c r="B391" s="30" t="s">
        <v>62</v>
      </c>
      <c r="C391" s="29" t="n">
        <v>2330.94</v>
      </c>
      <c r="D391" s="29" t="n">
        <v>2426.78</v>
      </c>
      <c r="E391" s="29" t="n">
        <v>1140.22</v>
      </c>
      <c r="F391" s="29" t="n">
        <f aca="false">C391+D391/2.5+E391</f>
        <v>4441.872</v>
      </c>
    </row>
    <row r="392" customFormat="false" ht="15" hidden="false" customHeight="false" outlineLevel="0" collapsed="false">
      <c r="A392" s="28" t="n">
        <v>45839</v>
      </c>
      <c r="B392" s="30" t="s">
        <v>61</v>
      </c>
      <c r="C392" s="29" t="n">
        <v>2700.49</v>
      </c>
      <c r="D392" s="29" t="n">
        <v>2012.48</v>
      </c>
      <c r="E392" s="29" t="n">
        <v>1102.28</v>
      </c>
      <c r="F392" s="29" t="n">
        <f aca="false">C392+D392/2.5+E392</f>
        <v>4607.762</v>
      </c>
    </row>
    <row r="393" customFormat="false" ht="15" hidden="false" customHeight="false" outlineLevel="0" collapsed="false">
      <c r="A393" s="28" t="n">
        <v>45839</v>
      </c>
      <c r="B393" s="30" t="s">
        <v>63</v>
      </c>
      <c r="C393" s="29" t="n">
        <v>2516.61</v>
      </c>
      <c r="D393" s="29" t="n">
        <v>2087.35</v>
      </c>
      <c r="E393" s="29" t="n">
        <v>1322.65</v>
      </c>
      <c r="F393" s="29" t="n">
        <f aca="false">C393+D393/2.5+E393</f>
        <v>4674.2</v>
      </c>
    </row>
    <row r="394" customFormat="false" ht="15" hidden="false" customHeight="false" outlineLevel="0" collapsed="false">
      <c r="A394" s="28" t="n">
        <v>45839</v>
      </c>
      <c r="B394" s="30" t="s">
        <v>60</v>
      </c>
      <c r="C394" s="29" t="n">
        <v>2693.64</v>
      </c>
      <c r="D394" s="29" t="n">
        <v>2726.17</v>
      </c>
      <c r="E394" s="29" t="n">
        <v>1453.2</v>
      </c>
      <c r="F394" s="29" t="n">
        <f aca="false">C394+D394/2.5+E394</f>
        <v>5237.308</v>
      </c>
    </row>
    <row r="395" customFormat="false" ht="15" hidden="false" customHeight="false" outlineLevel="0" collapsed="false">
      <c r="A395" s="28" t="n">
        <v>45839</v>
      </c>
      <c r="B395" s="30" t="s">
        <v>59</v>
      </c>
      <c r="C395" s="29" t="n">
        <v>3025.65</v>
      </c>
      <c r="D395" s="29" t="n">
        <v>2536.35</v>
      </c>
      <c r="E395" s="29" t="n">
        <v>1136.46</v>
      </c>
      <c r="F395" s="29" t="n">
        <f aca="false">C395+D395/2.5+E395</f>
        <v>5176.65</v>
      </c>
    </row>
    <row r="396" customFormat="false" ht="15" hidden="false" customHeight="false" outlineLevel="0" collapsed="false">
      <c r="A396" s="28" t="n">
        <v>45839</v>
      </c>
      <c r="B396" s="30" t="s">
        <v>62</v>
      </c>
      <c r="C396" s="29" t="n">
        <v>2349.26</v>
      </c>
      <c r="D396" s="29" t="n">
        <v>2429.28</v>
      </c>
      <c r="E396" s="29" t="n">
        <v>1114.37</v>
      </c>
      <c r="F396" s="29" t="n">
        <f aca="false">C396+D396/2.5+E396</f>
        <v>4435.342</v>
      </c>
    </row>
    <row r="397" customFormat="false" ht="15" hidden="false" customHeight="false" outlineLevel="0" collapsed="false">
      <c r="A397" s="28" t="n">
        <v>45870</v>
      </c>
      <c r="B397" s="30" t="s">
        <v>61</v>
      </c>
      <c r="C397" s="29" t="n">
        <v>2557.19</v>
      </c>
      <c r="D397" s="29" t="n">
        <v>1817.08</v>
      </c>
      <c r="E397" s="29" t="n">
        <v>901.9</v>
      </c>
      <c r="F397" s="29" t="n">
        <f aca="false">C397+D397/2.5+E397</f>
        <v>4185.922</v>
      </c>
    </row>
    <row r="398" customFormat="false" ht="15" hidden="false" customHeight="false" outlineLevel="0" collapsed="false">
      <c r="A398" s="28" t="n">
        <v>45870</v>
      </c>
      <c r="B398" s="30" t="s">
        <v>63</v>
      </c>
      <c r="C398" s="29" t="n">
        <v>2252.68</v>
      </c>
      <c r="D398" s="29" t="n">
        <v>2083.5</v>
      </c>
      <c r="E398" s="29" t="n">
        <v>1108.18</v>
      </c>
      <c r="F398" s="29" t="n">
        <f aca="false">C398+D398/2.5+E398</f>
        <v>4194.26</v>
      </c>
    </row>
    <row r="399" customFormat="false" ht="15" hidden="false" customHeight="false" outlineLevel="0" collapsed="false">
      <c r="A399" s="28" t="n">
        <v>45870</v>
      </c>
      <c r="B399" s="30" t="s">
        <v>60</v>
      </c>
      <c r="C399" s="29" t="n">
        <v>2454.24</v>
      </c>
      <c r="D399" s="29" t="n">
        <v>2449.32</v>
      </c>
      <c r="E399" s="29" t="n">
        <v>1276.41</v>
      </c>
      <c r="F399" s="29" t="n">
        <f aca="false">C399+D399/2.5+E399</f>
        <v>4710.378</v>
      </c>
    </row>
    <row r="400" customFormat="false" ht="15" hidden="false" customHeight="false" outlineLevel="0" collapsed="false">
      <c r="A400" s="28" t="n">
        <v>45870</v>
      </c>
      <c r="B400" s="30" t="s">
        <v>59</v>
      </c>
      <c r="C400" s="29" t="n">
        <v>2695.94</v>
      </c>
      <c r="D400" s="29" t="n">
        <v>2412.58</v>
      </c>
      <c r="E400" s="29" t="n">
        <v>1036.92</v>
      </c>
      <c r="F400" s="29" t="n">
        <f aca="false">C400+D400/2.5+E400</f>
        <v>4697.892</v>
      </c>
    </row>
    <row r="401" customFormat="false" ht="15" hidden="false" customHeight="false" outlineLevel="0" collapsed="false">
      <c r="A401" s="28" t="n">
        <v>45870</v>
      </c>
      <c r="B401" s="30" t="s">
        <v>62</v>
      </c>
      <c r="C401" s="29" t="n">
        <v>2257.64</v>
      </c>
      <c r="D401" s="29" t="n">
        <v>2129.91</v>
      </c>
      <c r="E401" s="29" t="n">
        <v>1000.93</v>
      </c>
      <c r="F401" s="29" t="n">
        <f aca="false">C401+D401/2.5+E401</f>
        <v>4110.534</v>
      </c>
    </row>
    <row r="402" customFormat="false" ht="15" hidden="false" customHeight="false" outlineLevel="0" collapsed="false">
      <c r="A402" s="28" t="n">
        <v>45901</v>
      </c>
      <c r="B402" s="30" t="s">
        <v>61</v>
      </c>
      <c r="C402" s="29" t="n">
        <v>2512.48</v>
      </c>
      <c r="D402" s="29" t="n">
        <v>1678.28</v>
      </c>
      <c r="E402" s="29" t="n">
        <v>877.51</v>
      </c>
      <c r="F402" s="29" t="n">
        <f aca="false">C402+D402/2.5+E402</f>
        <v>4061.302</v>
      </c>
    </row>
    <row r="403" customFormat="false" ht="15" hidden="false" customHeight="false" outlineLevel="0" collapsed="false">
      <c r="A403" s="28" t="n">
        <v>45901</v>
      </c>
      <c r="B403" s="30" t="s">
        <v>63</v>
      </c>
      <c r="C403" s="29" t="n">
        <v>2243.2</v>
      </c>
      <c r="D403" s="29" t="n">
        <v>1847.69</v>
      </c>
      <c r="E403" s="29" t="n">
        <v>898.09</v>
      </c>
      <c r="F403" s="29" t="n">
        <f aca="false">C403+D403/2.5+E403</f>
        <v>3880.366</v>
      </c>
    </row>
    <row r="404" customFormat="false" ht="15" hidden="false" customHeight="false" outlineLevel="0" collapsed="false">
      <c r="A404" s="28" t="n">
        <v>45901</v>
      </c>
      <c r="B404" s="30" t="s">
        <v>60</v>
      </c>
      <c r="C404" s="29" t="n">
        <v>2406.6</v>
      </c>
      <c r="D404" s="29" t="n">
        <v>2091.97</v>
      </c>
      <c r="E404" s="29" t="n">
        <v>1205.44</v>
      </c>
      <c r="F404" s="29" t="n">
        <f aca="false">C404+D404/2.5+E404</f>
        <v>4448.828</v>
      </c>
    </row>
    <row r="405" customFormat="false" ht="15" hidden="false" customHeight="false" outlineLevel="0" collapsed="false">
      <c r="A405" s="28" t="n">
        <v>45901</v>
      </c>
      <c r="B405" s="30" t="s">
        <v>59</v>
      </c>
      <c r="C405" s="29" t="n">
        <v>2649.93</v>
      </c>
      <c r="D405" s="29" t="n">
        <v>2053.41</v>
      </c>
      <c r="E405" s="29" t="n">
        <v>977.56</v>
      </c>
      <c r="F405" s="29" t="n">
        <f aca="false">C405+D405/2.5+E405</f>
        <v>4448.854</v>
      </c>
    </row>
    <row r="406" customFormat="false" ht="15" hidden="false" customHeight="false" outlineLevel="0" collapsed="false">
      <c r="A406" s="28" t="n">
        <v>45901</v>
      </c>
      <c r="B406" s="30" t="s">
        <v>62</v>
      </c>
      <c r="C406" s="29" t="n">
        <v>2239.03</v>
      </c>
      <c r="D406" s="29" t="n">
        <v>1861.72</v>
      </c>
      <c r="E406" s="29" t="n">
        <v>910.33</v>
      </c>
      <c r="F406" s="29" t="n">
        <f aca="false">C406+D406/2.5+E406</f>
        <v>3894.048</v>
      </c>
    </row>
    <row r="407" customFormat="false" ht="15" hidden="false" customHeight="false" outlineLevel="0" collapsed="false">
      <c r="A407" s="28" t="n">
        <v>45931</v>
      </c>
      <c r="B407" s="30" t="s">
        <v>61</v>
      </c>
      <c r="C407" s="29" t="n">
        <v>2503.82</v>
      </c>
      <c r="D407" s="29" t="n">
        <v>1502.86</v>
      </c>
      <c r="E407" s="29" t="n">
        <v>783.56</v>
      </c>
      <c r="F407" s="29" t="n">
        <f aca="false">C407+D407/2.5+E407</f>
        <v>3888.524</v>
      </c>
    </row>
    <row r="408" customFormat="false" ht="15" hidden="false" customHeight="false" outlineLevel="0" collapsed="false">
      <c r="A408" s="28" t="n">
        <v>45931</v>
      </c>
      <c r="B408" s="30" t="s">
        <v>63</v>
      </c>
      <c r="C408" s="29" t="n">
        <v>2144.62</v>
      </c>
      <c r="D408" s="29" t="n">
        <v>1689.81</v>
      </c>
      <c r="E408" s="29" t="n">
        <v>840.39</v>
      </c>
      <c r="F408" s="29" t="n">
        <f aca="false">C408+D408/2.5+E408</f>
        <v>3660.934</v>
      </c>
    </row>
    <row r="409" customFormat="false" ht="15" hidden="false" customHeight="false" outlineLevel="0" collapsed="false">
      <c r="A409" s="28" t="n">
        <v>45931</v>
      </c>
      <c r="B409" s="30" t="s">
        <v>60</v>
      </c>
      <c r="C409" s="29" t="n">
        <v>2192.28</v>
      </c>
      <c r="D409" s="29" t="n">
        <v>2141.95</v>
      </c>
      <c r="E409" s="29" t="n">
        <v>1066.85</v>
      </c>
      <c r="F409" s="29" t="n">
        <f aca="false">C409+D409/2.5+E409</f>
        <v>4115.91</v>
      </c>
    </row>
    <row r="410" customFormat="false" ht="15" hidden="false" customHeight="false" outlineLevel="0" collapsed="false">
      <c r="A410" s="28" t="n">
        <v>45931</v>
      </c>
      <c r="B410" s="30" t="s">
        <v>59</v>
      </c>
      <c r="C410" s="29" t="n">
        <v>2353.79</v>
      </c>
      <c r="D410" s="29" t="n">
        <v>2104.41</v>
      </c>
      <c r="E410" s="29" t="n">
        <v>980.44</v>
      </c>
      <c r="F410" s="29" t="n">
        <f aca="false">C410+D410/2.5+E410</f>
        <v>4175.994</v>
      </c>
    </row>
    <row r="411" customFormat="false" ht="15" hidden="false" customHeight="false" outlineLevel="0" collapsed="false">
      <c r="A411" s="28" t="n">
        <v>45931</v>
      </c>
      <c r="B411" s="30" t="s">
        <v>62</v>
      </c>
      <c r="C411" s="29" t="n">
        <v>2232.34</v>
      </c>
      <c r="D411" s="29" t="n">
        <v>1701.74</v>
      </c>
      <c r="E411" s="29" t="n">
        <v>911.14</v>
      </c>
      <c r="F411" s="29" t="n">
        <f aca="false">C411+D411/2.5+E411</f>
        <v>3824.176</v>
      </c>
    </row>
    <row r="412" customFormat="false" ht="15" hidden="false" customHeight="false" outlineLevel="0" collapsed="false">
      <c r="A412" s="28" t="n">
        <v>45962</v>
      </c>
      <c r="B412" s="30" t="s">
        <v>61</v>
      </c>
      <c r="C412" s="29" t="n">
        <v>2501.66</v>
      </c>
      <c r="D412" s="29" t="n">
        <v>1439.06</v>
      </c>
      <c r="E412" s="29" t="n">
        <v>626.36</v>
      </c>
      <c r="F412" s="29" t="n">
        <f aca="false">C412+D412/2.5+E412</f>
        <v>3703.644</v>
      </c>
    </row>
    <row r="413" customFormat="false" ht="15" hidden="false" customHeight="false" outlineLevel="0" collapsed="false">
      <c r="A413" s="28" t="n">
        <v>45962</v>
      </c>
      <c r="B413" s="30" t="s">
        <v>63</v>
      </c>
      <c r="C413" s="29" t="n">
        <v>2095.02</v>
      </c>
      <c r="D413" s="29" t="n">
        <v>1545.86</v>
      </c>
      <c r="E413" s="29" t="n">
        <v>794.76</v>
      </c>
      <c r="F413" s="29" t="n">
        <f aca="false">C413+D413/2.5+E413</f>
        <v>3508.124</v>
      </c>
    </row>
    <row r="414" customFormat="false" ht="15" hidden="false" customHeight="false" outlineLevel="0" collapsed="false">
      <c r="A414" s="28" t="n">
        <v>45962</v>
      </c>
      <c r="B414" s="30" t="s">
        <v>60</v>
      </c>
      <c r="C414" s="29" t="n">
        <v>2170.41</v>
      </c>
      <c r="D414" s="29" t="n">
        <v>2071.52</v>
      </c>
      <c r="E414" s="29" t="n">
        <v>1062.35</v>
      </c>
      <c r="F414" s="29" t="n">
        <f aca="false">C414+D414/2.5+E414</f>
        <v>4061.368</v>
      </c>
    </row>
    <row r="415" customFormat="false" ht="15" hidden="false" customHeight="false" outlineLevel="0" collapsed="false">
      <c r="A415" s="28" t="n">
        <v>45962</v>
      </c>
      <c r="B415" s="30" t="s">
        <v>59</v>
      </c>
      <c r="C415" s="29" t="n">
        <v>2324.27</v>
      </c>
      <c r="D415" s="29" t="n">
        <v>2073.47</v>
      </c>
      <c r="E415" s="29" t="n">
        <v>974.86</v>
      </c>
      <c r="F415" s="29" t="n">
        <f aca="false">C415+D415/2.5+E415</f>
        <v>4128.518</v>
      </c>
    </row>
    <row r="416" customFormat="false" ht="15" hidden="false" customHeight="false" outlineLevel="0" collapsed="false">
      <c r="A416" s="28" t="n">
        <v>45962</v>
      </c>
      <c r="B416" s="30" t="s">
        <v>62</v>
      </c>
      <c r="C416" s="29" t="n">
        <v>2207.98</v>
      </c>
      <c r="D416" s="29" t="n">
        <v>1655.08</v>
      </c>
      <c r="E416" s="29" t="n">
        <v>818.66</v>
      </c>
      <c r="F416" s="29" t="n">
        <f aca="false">C416+D416/2.5+E416</f>
        <v>3688.672</v>
      </c>
    </row>
    <row r="417" customFormat="false" ht="15" hidden="false" customHeight="false" outlineLevel="0" collapsed="false">
      <c r="A417" s="28" t="n">
        <v>45992</v>
      </c>
      <c r="B417" s="30" t="s">
        <v>61</v>
      </c>
      <c r="C417" s="29" t="n">
        <v>2502.21</v>
      </c>
      <c r="D417" s="29" t="n">
        <v>1222.68</v>
      </c>
      <c r="E417" s="29" t="n">
        <v>656.69</v>
      </c>
      <c r="F417" s="29" t="n">
        <f aca="false">C417+D417/2.5+E417</f>
        <v>3647.972</v>
      </c>
    </row>
    <row r="418" customFormat="false" ht="15" hidden="false" customHeight="false" outlineLevel="0" collapsed="false">
      <c r="A418" s="28" t="n">
        <v>45992</v>
      </c>
      <c r="B418" s="30" t="s">
        <v>63</v>
      </c>
      <c r="C418" s="29" t="n">
        <v>2055.17</v>
      </c>
      <c r="D418" s="29" t="n">
        <v>1500.58</v>
      </c>
      <c r="E418" s="29" t="n">
        <v>694.09</v>
      </c>
      <c r="F418" s="29" t="n">
        <f aca="false">C418+D418/2.5+E418</f>
        <v>3349.492</v>
      </c>
    </row>
    <row r="419" customFormat="false" ht="15" hidden="false" customHeight="false" outlineLevel="0" collapsed="false">
      <c r="A419" s="28" t="n">
        <v>45992</v>
      </c>
      <c r="B419" s="30" t="s">
        <v>60</v>
      </c>
      <c r="C419" s="29" t="n">
        <v>2141.14</v>
      </c>
      <c r="D419" s="29" t="n">
        <v>1791.17</v>
      </c>
      <c r="E419" s="29" t="n">
        <v>913.51</v>
      </c>
      <c r="F419" s="29" t="n">
        <f aca="false">C419+D419/2.5+E419</f>
        <v>3771.118</v>
      </c>
    </row>
    <row r="420" customFormat="false" ht="15" hidden="false" customHeight="false" outlineLevel="0" collapsed="false">
      <c r="A420" s="28" t="n">
        <v>45992</v>
      </c>
      <c r="B420" s="30" t="s">
        <v>59</v>
      </c>
      <c r="C420" s="29" t="n">
        <v>2255.6</v>
      </c>
      <c r="D420" s="29" t="n">
        <v>1926.74</v>
      </c>
      <c r="E420" s="29" t="n">
        <v>934.35</v>
      </c>
      <c r="F420" s="29" t="n">
        <f aca="false">C420+D420/2.5+E420</f>
        <v>3960.646</v>
      </c>
    </row>
    <row r="421" customFormat="false" ht="15" hidden="false" customHeight="false" outlineLevel="0" collapsed="false">
      <c r="A421" s="28" t="n">
        <v>45992</v>
      </c>
      <c r="B421" s="30" t="s">
        <v>62</v>
      </c>
      <c r="C421" s="29" t="n">
        <v>2200.93</v>
      </c>
      <c r="D421" s="29" t="n">
        <v>1480.56</v>
      </c>
      <c r="E421" s="29" t="n">
        <v>808.33</v>
      </c>
      <c r="F421" s="29" t="n">
        <f aca="false">C421+D421/2.5+E421</f>
        <v>3601.484</v>
      </c>
    </row>
    <row r="422" customFormat="false" ht="15" hidden="false" customHeight="false" outlineLevel="0" collapsed="false">
      <c r="A422" s="28" t="n">
        <v>46023</v>
      </c>
      <c r="B422" s="30" t="s">
        <v>61</v>
      </c>
      <c r="C422" s="29" t="n">
        <v>2500.88</v>
      </c>
      <c r="D422" s="29" t="n">
        <v>1185.83</v>
      </c>
      <c r="E422" s="29" t="n">
        <v>654.58</v>
      </c>
      <c r="F422" s="29" t="n">
        <f aca="false">C422+D422/2.5+E422</f>
        <v>3629.792</v>
      </c>
    </row>
    <row r="423" customFormat="false" ht="15" hidden="false" customHeight="false" outlineLevel="0" collapsed="false">
      <c r="A423" s="28" t="n">
        <v>46023</v>
      </c>
      <c r="B423" s="30" t="s">
        <v>63</v>
      </c>
      <c r="C423" s="29" t="n">
        <v>2028.08</v>
      </c>
      <c r="D423" s="29" t="n">
        <v>1410.65</v>
      </c>
      <c r="E423" s="29" t="n">
        <v>692.43</v>
      </c>
      <c r="F423" s="29" t="n">
        <f aca="false">C423+D423/2.5+E423</f>
        <v>3284.77</v>
      </c>
    </row>
    <row r="424" customFormat="false" ht="15" hidden="false" customHeight="false" outlineLevel="0" collapsed="false">
      <c r="A424" s="28" t="n">
        <v>46023</v>
      </c>
      <c r="B424" s="30" t="s">
        <v>60</v>
      </c>
      <c r="C424" s="29" t="n">
        <v>2154.19</v>
      </c>
      <c r="D424" s="29" t="n">
        <v>1727.08</v>
      </c>
      <c r="E424" s="29" t="n">
        <v>913.07</v>
      </c>
      <c r="F424" s="29" t="n">
        <f aca="false">C424+D424/2.5+E424</f>
        <v>3758.092</v>
      </c>
    </row>
    <row r="425" customFormat="false" ht="15" hidden="false" customHeight="false" outlineLevel="0" collapsed="false">
      <c r="A425" s="28" t="n">
        <v>46023</v>
      </c>
      <c r="B425" s="30" t="s">
        <v>59</v>
      </c>
      <c r="C425" s="29" t="n">
        <v>2258.93</v>
      </c>
      <c r="D425" s="29" t="n">
        <v>1889.27</v>
      </c>
      <c r="E425" s="29" t="n">
        <v>928.68</v>
      </c>
      <c r="F425" s="29" t="n">
        <f aca="false">C425+D425/2.5+E425</f>
        <v>3943.318</v>
      </c>
    </row>
    <row r="426" customFormat="false" ht="15" hidden="false" customHeight="false" outlineLevel="0" collapsed="false">
      <c r="A426" s="28" t="n">
        <v>46023</v>
      </c>
      <c r="B426" s="30" t="s">
        <v>62</v>
      </c>
      <c r="C426" s="29" t="n">
        <v>2194.53</v>
      </c>
      <c r="D426" s="29" t="n">
        <v>1325.8</v>
      </c>
      <c r="E426" s="29" t="n">
        <v>799.9</v>
      </c>
      <c r="F426" s="29" t="n">
        <f aca="false">C426+D426/2.5+E426</f>
        <v>3524.75</v>
      </c>
    </row>
    <row r="427" customFormat="false" ht="15" hidden="false" customHeight="false" outlineLevel="0" collapsed="false">
      <c r="A427" s="28" t="n">
        <v>46054</v>
      </c>
      <c r="B427" s="30" t="s">
        <v>61</v>
      </c>
      <c r="C427" s="29" t="n">
        <v>2507.55</v>
      </c>
      <c r="D427" s="29" t="n">
        <v>1361.95</v>
      </c>
      <c r="E427" s="29" t="n">
        <v>662.91</v>
      </c>
      <c r="F427" s="29" t="n">
        <f aca="false">C427+D427/2.5+E427</f>
        <v>3715.24</v>
      </c>
    </row>
    <row r="428" customFormat="false" ht="15" hidden="false" customHeight="false" outlineLevel="0" collapsed="false">
      <c r="A428" s="28" t="n">
        <v>46054</v>
      </c>
      <c r="B428" s="30" t="s">
        <v>63</v>
      </c>
      <c r="C428" s="29" t="n">
        <v>2065.3</v>
      </c>
      <c r="D428" s="29" t="n">
        <v>1590.43</v>
      </c>
      <c r="E428" s="29" t="n">
        <v>752.89</v>
      </c>
      <c r="F428" s="29" t="n">
        <f aca="false">C428+D428/2.5+E428</f>
        <v>3454.362</v>
      </c>
    </row>
    <row r="429" customFormat="false" ht="15" hidden="false" customHeight="false" outlineLevel="0" collapsed="false">
      <c r="A429" s="28" t="n">
        <v>46054</v>
      </c>
      <c r="B429" s="30" t="s">
        <v>60</v>
      </c>
      <c r="C429" s="29" t="n">
        <v>2189.63</v>
      </c>
      <c r="D429" s="29" t="n">
        <v>1880.79</v>
      </c>
      <c r="E429" s="29" t="n">
        <v>935.01</v>
      </c>
      <c r="F429" s="29" t="n">
        <f aca="false">C429+D429/2.5+E429</f>
        <v>3876.956</v>
      </c>
    </row>
    <row r="430" customFormat="false" ht="15" hidden="false" customHeight="false" outlineLevel="0" collapsed="false">
      <c r="A430" s="28" t="n">
        <v>46054</v>
      </c>
      <c r="B430" s="30" t="s">
        <v>59</v>
      </c>
      <c r="C430" s="29" t="n">
        <v>2263.93</v>
      </c>
      <c r="D430" s="29" t="n">
        <v>1930.03</v>
      </c>
      <c r="E430" s="29" t="n">
        <v>936.01</v>
      </c>
      <c r="F430" s="29" t="n">
        <f aca="false">C430+D430/2.5+E430</f>
        <v>3971.952</v>
      </c>
    </row>
    <row r="431" customFormat="false" ht="15" hidden="false" customHeight="false" outlineLevel="0" collapsed="false">
      <c r="A431" s="28" t="n">
        <v>46054</v>
      </c>
      <c r="B431" s="30" t="s">
        <v>62</v>
      </c>
      <c r="C431" s="29" t="n">
        <v>2197.93</v>
      </c>
      <c r="D431" s="29" t="n">
        <v>1498.55</v>
      </c>
      <c r="E431" s="29" t="n">
        <v>803.87</v>
      </c>
      <c r="F431" s="29" t="n">
        <f aca="false">C431+D431/2.5+E431</f>
        <v>3601.22</v>
      </c>
    </row>
    <row r="432" customFormat="false" ht="15" hidden="false" customHeight="false" outlineLevel="0" collapsed="false">
      <c r="A432" s="28" t="n">
        <v>46082</v>
      </c>
      <c r="B432" s="30" t="s">
        <v>61</v>
      </c>
      <c r="C432" s="29" t="n">
        <v>2514.76</v>
      </c>
      <c r="D432" s="29" t="n">
        <v>1426.62</v>
      </c>
      <c r="E432" s="29" t="n">
        <v>670.16</v>
      </c>
      <c r="F432" s="29" t="n">
        <f aca="false">C432+D432/2.5+E432</f>
        <v>3755.568</v>
      </c>
    </row>
    <row r="433" customFormat="false" ht="15" hidden="false" customHeight="false" outlineLevel="0" collapsed="false">
      <c r="A433" s="28" t="n">
        <v>46082</v>
      </c>
      <c r="B433" s="30" t="s">
        <v>63</v>
      </c>
      <c r="C433" s="29" t="n">
        <v>2075.12</v>
      </c>
      <c r="D433" s="29" t="n">
        <v>1797.35</v>
      </c>
      <c r="E433" s="29" t="n">
        <v>763.09</v>
      </c>
      <c r="F433" s="29" t="n">
        <f aca="false">C433+D433/2.5+E433</f>
        <v>3557.15</v>
      </c>
    </row>
    <row r="434" customFormat="false" ht="15" hidden="false" customHeight="false" outlineLevel="0" collapsed="false">
      <c r="A434" s="28" t="n">
        <v>46082</v>
      </c>
      <c r="B434" s="30" t="s">
        <v>60</v>
      </c>
      <c r="C434" s="29" t="n">
        <v>2212.25</v>
      </c>
      <c r="D434" s="29" t="n">
        <v>1871.27</v>
      </c>
      <c r="E434" s="29" t="n">
        <v>942.04</v>
      </c>
      <c r="F434" s="29" t="n">
        <f aca="false">C434+D434/2.5+E434</f>
        <v>3902.798</v>
      </c>
    </row>
    <row r="435" customFormat="false" ht="15" hidden="false" customHeight="false" outlineLevel="0" collapsed="false">
      <c r="A435" s="28" t="n">
        <v>46082</v>
      </c>
      <c r="B435" s="30" t="s">
        <v>59</v>
      </c>
      <c r="C435" s="29" t="n">
        <v>2263.93</v>
      </c>
      <c r="D435" s="29" t="n">
        <v>2044.45</v>
      </c>
      <c r="E435" s="29" t="n">
        <v>942.68</v>
      </c>
      <c r="F435" s="29" t="n">
        <f aca="false">C435+D435/2.5+E435</f>
        <v>4024.39</v>
      </c>
    </row>
    <row r="436" customFormat="false" ht="15" hidden="false" customHeight="false" outlineLevel="0" collapsed="false">
      <c r="A436" s="28" t="n">
        <v>46082</v>
      </c>
      <c r="B436" s="30" t="s">
        <v>62</v>
      </c>
      <c r="C436" s="29" t="n">
        <v>2216.93</v>
      </c>
      <c r="D436" s="29" t="n">
        <v>1623.96</v>
      </c>
      <c r="E436" s="29" t="n">
        <v>809.66</v>
      </c>
      <c r="F436" s="29" t="n">
        <f aca="false">C436+D436/2.5+E436</f>
        <v>3676.174</v>
      </c>
    </row>
    <row r="437" customFormat="false" ht="15" hidden="false" customHeight="false" outlineLevel="0" collapsed="false">
      <c r="A437" s="28" t="n">
        <v>46113</v>
      </c>
      <c r="B437" s="30" t="s">
        <v>61</v>
      </c>
      <c r="C437" s="29" t="n">
        <v>2518.05</v>
      </c>
      <c r="D437" s="29" t="n">
        <v>1509.53</v>
      </c>
      <c r="E437" s="29" t="n">
        <v>673.88</v>
      </c>
      <c r="F437" s="29" t="n">
        <f aca="false">C437+D437/2.5+E437</f>
        <v>3795.742</v>
      </c>
    </row>
    <row r="438" customFormat="false" ht="15" hidden="false" customHeight="false" outlineLevel="0" collapsed="false">
      <c r="A438" s="28" t="n">
        <v>46113</v>
      </c>
      <c r="B438" s="30" t="s">
        <v>63</v>
      </c>
      <c r="C438" s="29" t="n">
        <v>2091.27</v>
      </c>
      <c r="D438" s="29" t="n">
        <v>1824.47</v>
      </c>
      <c r="E438" s="29" t="n">
        <v>782.92</v>
      </c>
      <c r="F438" s="29" t="n">
        <f aca="false">C438+D438/2.5+E438</f>
        <v>3603.978</v>
      </c>
    </row>
    <row r="439" customFormat="false" ht="15" hidden="false" customHeight="false" outlineLevel="0" collapsed="false">
      <c r="A439" s="28" t="n">
        <v>46113</v>
      </c>
      <c r="B439" s="30" t="s">
        <v>60</v>
      </c>
      <c r="C439" s="29" t="n">
        <v>2253.74</v>
      </c>
      <c r="D439" s="29" t="n">
        <v>1919.69</v>
      </c>
      <c r="E439" s="29" t="n">
        <v>944.58</v>
      </c>
      <c r="F439" s="29" t="n">
        <f aca="false">C439+D439/2.5+E439</f>
        <v>3966.196</v>
      </c>
    </row>
    <row r="440" customFormat="false" ht="15" hidden="false" customHeight="false" outlineLevel="0" collapsed="false">
      <c r="A440" s="28" t="n">
        <v>46113</v>
      </c>
      <c r="B440" s="30" t="s">
        <v>59</v>
      </c>
      <c r="C440" s="29" t="n">
        <v>2263.93</v>
      </c>
      <c r="D440" s="29" t="n">
        <v>2047.4</v>
      </c>
      <c r="E440" s="29" t="n">
        <v>944.01</v>
      </c>
      <c r="F440" s="29" t="n">
        <f aca="false">C440+D440/2.5+E440</f>
        <v>4026.9</v>
      </c>
    </row>
    <row r="441" customFormat="false" ht="15" hidden="false" customHeight="false" outlineLevel="0" collapsed="false">
      <c r="A441" s="28" t="n">
        <v>46113</v>
      </c>
      <c r="B441" s="30" t="s">
        <v>62</v>
      </c>
      <c r="C441" s="29" t="n">
        <v>2219.61</v>
      </c>
      <c r="D441" s="29" t="n">
        <v>1781.77</v>
      </c>
      <c r="E441" s="29" t="n">
        <v>819.83</v>
      </c>
      <c r="F441" s="29" t="n">
        <f aca="false">C441+D441/2.5+E441</f>
        <v>3752.148</v>
      </c>
    </row>
    <row r="442" customFormat="false" ht="15" hidden="false" customHeight="false" outlineLevel="0" collapsed="false">
      <c r="A442" s="28" t="n">
        <v>46143</v>
      </c>
      <c r="B442" s="30" t="s">
        <v>61</v>
      </c>
      <c r="C442" s="29" t="n">
        <v>2519.57</v>
      </c>
      <c r="D442" s="29" t="n">
        <v>1489.47</v>
      </c>
      <c r="E442" s="29" t="n">
        <v>676.21</v>
      </c>
      <c r="F442" s="29" t="n">
        <f aca="false">C442+D442/2.5+E442</f>
        <v>3791.568</v>
      </c>
    </row>
    <row r="443" customFormat="false" ht="15" hidden="false" customHeight="false" outlineLevel="0" collapsed="false">
      <c r="A443" s="28" t="n">
        <v>46143</v>
      </c>
      <c r="B443" s="30" t="s">
        <v>63</v>
      </c>
      <c r="C443" s="29" t="n">
        <v>2026.74</v>
      </c>
      <c r="D443" s="29" t="n">
        <v>1753.97</v>
      </c>
      <c r="E443" s="29" t="n">
        <v>797.6</v>
      </c>
      <c r="F443" s="29" t="n">
        <f aca="false">C443+D443/2.5+E443</f>
        <v>3525.928</v>
      </c>
    </row>
    <row r="444" customFormat="false" ht="15" hidden="false" customHeight="false" outlineLevel="0" collapsed="false">
      <c r="A444" s="28" t="n">
        <v>46143</v>
      </c>
      <c r="B444" s="30" t="s">
        <v>60</v>
      </c>
      <c r="C444" s="29" t="n">
        <v>2262.27</v>
      </c>
      <c r="D444" s="29" t="n">
        <v>1942.53</v>
      </c>
      <c r="E444" s="29" t="n">
        <v>946.55</v>
      </c>
      <c r="F444" s="29" t="n">
        <f aca="false">C444+D444/2.5+E444</f>
        <v>3985.832</v>
      </c>
    </row>
    <row r="445" customFormat="false" ht="15" hidden="false" customHeight="false" outlineLevel="0" collapsed="false">
      <c r="A445" s="28" t="n">
        <v>46143</v>
      </c>
      <c r="B445" s="30" t="s">
        <v>59</v>
      </c>
      <c r="C445" s="29" t="n">
        <v>2263.93</v>
      </c>
      <c r="D445" s="29" t="n">
        <v>2094.66</v>
      </c>
      <c r="E445" s="29" t="n">
        <v>944.01</v>
      </c>
      <c r="F445" s="29" t="n">
        <f aca="false">C445+D445/2.5+E445</f>
        <v>4045.804</v>
      </c>
    </row>
    <row r="446" customFormat="false" ht="15" hidden="false" customHeight="false" outlineLevel="0" collapsed="false">
      <c r="A446" s="28" t="n">
        <v>46143</v>
      </c>
      <c r="B446" s="30" t="s">
        <v>62</v>
      </c>
      <c r="C446" s="29" t="n">
        <v>2224.81</v>
      </c>
      <c r="D446" s="29" t="n">
        <v>1679.09</v>
      </c>
      <c r="E446" s="29" t="n">
        <v>823.46</v>
      </c>
      <c r="F446" s="29" t="n">
        <f aca="false">C446+D446/2.5+E446</f>
        <v>3719.906</v>
      </c>
    </row>
    <row r="447" customFormat="false" ht="15" hidden="false" customHeight="false" outlineLevel="0" collapsed="false">
      <c r="A447" s="28" t="n">
        <v>46174</v>
      </c>
      <c r="B447" s="30" t="s">
        <v>61</v>
      </c>
      <c r="C447" s="29" t="n">
        <v>2195.45</v>
      </c>
      <c r="D447" s="29" t="n">
        <v>1878.44</v>
      </c>
      <c r="E447" s="29" t="n">
        <v>705.53</v>
      </c>
      <c r="F447" s="29" t="n">
        <f aca="false">C447+D447/2.5+E447</f>
        <v>3652.356</v>
      </c>
    </row>
    <row r="448" customFormat="false" ht="15" hidden="false" customHeight="false" outlineLevel="0" collapsed="false">
      <c r="A448" s="28" t="n">
        <v>46174</v>
      </c>
      <c r="B448" s="30" t="s">
        <v>63</v>
      </c>
      <c r="C448" s="29" t="n">
        <v>1919.21</v>
      </c>
      <c r="D448" s="29" t="n">
        <v>1968.51</v>
      </c>
      <c r="E448" s="29" t="n">
        <v>696.51</v>
      </c>
      <c r="F448" s="29" t="n">
        <f aca="false">C448+D448/2.5+E448</f>
        <v>3403.124</v>
      </c>
    </row>
    <row r="449" customFormat="false" ht="15" hidden="false" customHeight="false" outlineLevel="0" collapsed="false">
      <c r="A449" s="28" t="n">
        <v>46174</v>
      </c>
      <c r="B449" s="30" t="s">
        <v>60</v>
      </c>
      <c r="C449" s="29" t="n">
        <v>2163.89</v>
      </c>
      <c r="D449" s="29" t="n">
        <v>2173.81</v>
      </c>
      <c r="E449" s="29" t="n">
        <v>909.86</v>
      </c>
      <c r="F449" s="29" t="n">
        <f aca="false">C449+D449/2.5+E449</f>
        <v>3943.274</v>
      </c>
    </row>
    <row r="450" customFormat="false" ht="15" hidden="false" customHeight="false" outlineLevel="0" collapsed="false">
      <c r="A450" s="28" t="n">
        <v>46174</v>
      </c>
      <c r="B450" s="30" t="s">
        <v>59</v>
      </c>
      <c r="C450" s="29" t="n">
        <v>2114.84</v>
      </c>
      <c r="D450" s="29" t="n">
        <v>2252.33</v>
      </c>
      <c r="E450" s="29" t="n">
        <v>884.37</v>
      </c>
      <c r="F450" s="29" t="n">
        <f aca="false">C450+D450/2.5+E450</f>
        <v>3900.142</v>
      </c>
    </row>
    <row r="451" customFormat="false" ht="15" hidden="false" customHeight="false" outlineLevel="0" collapsed="false">
      <c r="A451" s="28" t="n">
        <v>46174</v>
      </c>
      <c r="B451" s="30" t="s">
        <v>62</v>
      </c>
      <c r="C451" s="29" t="n">
        <v>2077.57</v>
      </c>
      <c r="D451" s="29" t="n">
        <v>1944.74</v>
      </c>
      <c r="E451" s="29" t="n">
        <v>795.26</v>
      </c>
      <c r="F451" s="29" t="n">
        <f aca="false">C451+D451/2.5+E451</f>
        <v>3650.726</v>
      </c>
    </row>
    <row r="452" customFormat="false" ht="15" hidden="false" customHeight="false" outlineLevel="0" collapsed="false">
      <c r="A452" s="28" t="n">
        <v>46204</v>
      </c>
      <c r="B452" s="30" t="s">
        <v>61</v>
      </c>
      <c r="C452" s="29" t="n">
        <v>2220.37</v>
      </c>
      <c r="D452" s="29" t="n">
        <v>1996.63</v>
      </c>
      <c r="E452" s="29" t="n">
        <v>723.2</v>
      </c>
      <c r="F452" s="29" t="n">
        <f aca="false">C452+D452/2.5+E452</f>
        <v>3742.222</v>
      </c>
    </row>
    <row r="453" customFormat="false" ht="15" hidden="false" customHeight="false" outlineLevel="0" collapsed="false">
      <c r="A453" s="28" t="n">
        <v>46204</v>
      </c>
      <c r="B453" s="30" t="s">
        <v>63</v>
      </c>
      <c r="C453" s="29" t="n">
        <v>1756.27</v>
      </c>
      <c r="D453" s="29" t="n">
        <v>2160.49</v>
      </c>
      <c r="E453" s="29" t="n">
        <v>587.41</v>
      </c>
      <c r="F453" s="29" t="n">
        <f aca="false">C453+D453/2.5+E453</f>
        <v>3207.876</v>
      </c>
    </row>
    <row r="454" customFormat="false" ht="15" hidden="false" customHeight="false" outlineLevel="0" collapsed="false">
      <c r="A454" s="28" t="n">
        <v>46204</v>
      </c>
      <c r="B454" s="30" t="s">
        <v>60</v>
      </c>
      <c r="C454" s="29" t="n">
        <v>2216.07</v>
      </c>
      <c r="D454" s="29" t="n">
        <v>2182.88</v>
      </c>
      <c r="E454" s="29" t="n">
        <v>882.12</v>
      </c>
      <c r="F454" s="29" t="n">
        <f aca="false">C454+D454/2.5+E454</f>
        <v>3971.342</v>
      </c>
    </row>
    <row r="455" customFormat="false" ht="15" hidden="false" customHeight="false" outlineLevel="0" collapsed="false">
      <c r="A455" s="28" t="n">
        <v>46204</v>
      </c>
      <c r="B455" s="30" t="s">
        <v>59</v>
      </c>
      <c r="C455" s="29" t="n">
        <v>2230.46</v>
      </c>
      <c r="D455" s="29" t="n">
        <v>2271.88</v>
      </c>
      <c r="E455" s="29" t="n">
        <v>871.89</v>
      </c>
      <c r="F455" s="29" t="n">
        <f aca="false">C455+D455/2.5+E455</f>
        <v>4011.102</v>
      </c>
    </row>
    <row r="456" customFormat="false" ht="15" hidden="false" customHeight="false" outlineLevel="0" collapsed="false">
      <c r="A456" s="28" t="n">
        <v>46204</v>
      </c>
      <c r="B456" s="30" t="s">
        <v>62</v>
      </c>
      <c r="C456" s="29" t="n">
        <v>2121.61</v>
      </c>
      <c r="D456" s="29" t="n">
        <v>2041.45</v>
      </c>
      <c r="E456" s="29" t="n">
        <v>778.48</v>
      </c>
      <c r="F456" s="29" t="n">
        <f aca="false">C456+D456/2.5+E456</f>
        <v>3716.67</v>
      </c>
    </row>
    <row r="458" customFormat="false" ht="15" hidden="false" customHeight="false" outlineLevel="0" collapsed="false">
      <c r="A458" s="1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2026-10-24T11:16:25Z</dcterms:created>
  <dc:creator>openpyxl</dc:creator>
  <dc:description/>
  <dc:language>en-US</dc:language>
  <cp:lastModifiedBy/>
  <dcterms:modified xsi:type="dcterms:W3CDTF">2026-10-24T12:16:28Z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